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LL-PC\Documents\Excel For Data Analytics\"/>
    </mc:Choice>
  </mc:AlternateContent>
  <xr:revisionPtr revIDLastSave="0" documentId="13_ncr:9_{24F01F68-CE3C-47E8-8D6B-A17BD2710A62}" xr6:coauthVersionLast="47" xr6:coauthVersionMax="47" xr10:uidLastSave="{00000000-0000-0000-0000-000000000000}"/>
  <bookViews>
    <workbookView xWindow="-120" yWindow="-120" windowWidth="20730" windowHeight="11040" firstSheet="7" activeTab="8" xr2:uid="{35513864-1397-4A70-911A-C6542EB21F88}"/>
  </bookViews>
  <sheets>
    <sheet name="Investment Preference Data" sheetId="1" r:id="rId1"/>
    <sheet name="Investment Preference Clean" sheetId="2" r:id="rId2"/>
    <sheet name="Avenues by Gender" sheetId="3" r:id="rId3"/>
    <sheet name="Investment Pref by Age Group" sheetId="4" r:id="rId4"/>
    <sheet name="Factor by Age Group" sheetId="5" r:id="rId5"/>
    <sheet name="Savings_Obj by Duration" sheetId="6" r:id="rId6"/>
    <sheet name="Mutual Funds Reasons by Expect" sheetId="7" r:id="rId7"/>
    <sheet name="Savings_Obj by Return" sheetId="9" r:id="rId8"/>
    <sheet name="Dashboard" sheetId="8" r:id="rId9"/>
  </sheets>
  <definedNames>
    <definedName name="_xlnm._FilterDatabase" localSheetId="1" hidden="1">'Investment Preference Clean'!$A$1:$Y$41</definedName>
    <definedName name="Slicer_Age_Group">#N/A</definedName>
    <definedName name="Slicer_Expect">#N/A</definedName>
    <definedName name="Slicer_Gender">#N/A</definedName>
  </definedNames>
  <calcPr calcId="0"/>
  <pivotCaches>
    <pivotCache cacheId="19"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20" i="2" l="1"/>
  <c r="AA18" i="2"/>
  <c r="AA16" i="2"/>
  <c r="AA14" i="2"/>
  <c r="AA1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alcChain>
</file>

<file path=xl/sharedStrings.xml><?xml version="1.0" encoding="utf-8"?>
<sst xmlns="http://schemas.openxmlformats.org/spreadsheetml/2006/main" count="1393" uniqueCount="83">
  <si>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</si>
  <si>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</si>
  <si>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</si>
  <si>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</si>
  <si>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</si>
  <si>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</si>
  <si>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</si>
  <si>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</si>
  <si>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</si>
  <si>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</si>
  <si>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</si>
  <si>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</si>
  <si>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</si>
  <si>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</si>
  <si>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</si>
  <si>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</si>
  <si>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</si>
  <si>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</si>
  <si>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</si>
  <si>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</si>
  <si>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</si>
  <si>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</si>
  <si>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</si>
  <si>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</si>
  <si>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</si>
  <si>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</si>
  <si>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</si>
  <si>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</si>
  <si>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</si>
  <si>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</si>
  <si>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</si>
  <si>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</si>
  <si>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</si>
  <si>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</si>
  <si>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</si>
  <si>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</si>
  <si>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</si>
  <si>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</si>
  <si>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</si>
  <si>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</si>
  <si>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</si>
  <si>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</si>
  <si>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</si>
  <si>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</si>
  <si>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</si>
  <si>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</si>
  <si>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</si>
  <si>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</si>
  <si>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</si>
  <si>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</si>
  <si>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</si>
  <si>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</si>
  <si>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</si>
  <si>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</si>
  <si>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</si>
  <si>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</si>
  <si>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</si>
  <si>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</si>
  <si>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</si>
  <si>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</si>
  <si>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</si>
  <si>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</si>
  <si>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</si>
  <si>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</si>
  <si>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</si>
  <si>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</si>
  <si>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</si>
  <si>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</si>
  <si>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Gender</t>
  </si>
  <si>
    <t>Age</t>
  </si>
  <si>
    <t>Age_Group</t>
  </si>
  <si>
    <t>Savings_Objectives</t>
  </si>
  <si>
    <t>Grand Total</t>
  </si>
  <si>
    <t>Count of Gender</t>
  </si>
  <si>
    <t>Column Labels</t>
  </si>
  <si>
    <t>Early Adulthood</t>
  </si>
  <si>
    <t>Established Adulthood</t>
  </si>
  <si>
    <t>Experienced Adulthood</t>
  </si>
  <si>
    <t>Age Group</t>
  </si>
  <si>
    <t>Count of Factor</t>
  </si>
  <si>
    <t>Count of Savings_Objectives</t>
  </si>
  <si>
    <t>Count of Reason_Mutual</t>
  </si>
  <si>
    <t>Expected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</si>
</sst>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3D5473"/>
      <name val="Candar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1" fontId="16" fillId="0" borderId="0" xfId="0" applyNumberFormat="1" applyFont="1"/>
    <xf numFmtId="1" fontId="0" fillId="0" borderId="0" xfId="0" applyNumberFormat="1"/>
    <xf numFmtId="0" fontId="18" fillId="0" borderId="0" xfId="0" pivotButton="1" applyFont="1"/>
    <xf numFmtId="0" fontId="18" fillId="0" borderId="0" xfId="0" applyFont="1"/>
    <xf numFmtId="0" fontId="18" fillId="0" borderId="0" xfId="0" applyFont="1" applyAlignment="1">
      <alignment horizontal="left"/>
    </xf>
    <xf numFmtId="0" fontId="18" fillId="0" borderId="0" xfId="0" applyNumberFormat="1" applyFont="1"/>
    <xf numFmtId="0" fontId="0" fillId="33" borderId="0" xfId="0" applyFill="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44">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b/>
      </font>
    </dxf>
    <dxf>
      <font>
        <b/>
      </font>
    </dxf>
    <dxf>
      <font>
        <b/>
      </font>
    </dxf>
    <dxf>
      <font>
        <b/>
      </font>
    </dxf>
    <dxf>
      <font>
        <b/>
      </font>
    </dxf>
    <dxf>
      <font>
        <b/>
      </font>
    </dxf>
    <dxf>
      <font>
        <b/>
      </font>
    </dxf>
    <dxf>
      <font>
        <b/>
      </font>
    </dxf>
    <dxf>
      <font>
        <b/>
      </font>
    </dxf>
    <dxf>
      <font>
        <b/>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b/>
      </font>
    </dxf>
    <dxf>
      <font>
        <b/>
      </font>
    </dxf>
    <dxf>
      <font>
        <b/>
      </font>
    </dxf>
    <dxf>
      <font>
        <b/>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b/>
      </font>
    </dxf>
    <dxf>
      <font>
        <b/>
      </font>
    </dxf>
    <dxf>
      <font>
        <b/>
      </font>
    </dxf>
    <dxf>
      <font>
        <b/>
      </font>
    </dxf>
    <dxf>
      <font>
        <b/>
      </font>
    </dxf>
    <dxf>
      <font>
        <b/>
      </font>
    </dxf>
    <dxf>
      <font>
        <b/>
      </font>
    </dxf>
    <dxf>
      <font>
        <b/>
      </font>
    </dxf>
    <dxf>
      <font>
        <b/>
      </font>
    </dxf>
    <dxf>
      <font>
        <b/>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b/>
      </font>
    </dxf>
    <dxf>
      <font>
        <b/>
      </font>
    </dxf>
    <dxf>
      <font>
        <b/>
      </font>
    </dxf>
    <dxf>
      <font>
        <b/>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b/>
      </font>
    </dxf>
    <dxf>
      <font>
        <b/>
      </font>
    </dxf>
    <dxf>
      <font>
        <b/>
      </font>
    </dxf>
    <dxf>
      <font>
        <b/>
      </font>
    </dxf>
    <dxf>
      <font>
        <b/>
      </font>
    </dxf>
    <dxf>
      <font>
        <b/>
      </font>
    </dxf>
    <dxf>
      <font>
        <b/>
      </font>
    </dxf>
    <dxf>
      <font>
        <b/>
      </font>
    </dxf>
    <dxf>
      <font>
        <b/>
      </font>
    </dxf>
    <dxf>
      <font>
        <b/>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b/>
      </font>
    </dxf>
    <dxf>
      <font>
        <b/>
      </font>
    </dxf>
    <dxf>
      <font>
        <b/>
      </font>
    </dxf>
    <dxf>
      <font>
        <b/>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b/>
      </font>
    </dxf>
    <dxf>
      <font>
        <b/>
      </font>
    </dxf>
    <dxf>
      <font>
        <b/>
      </font>
    </dxf>
    <dxf>
      <font>
        <b/>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b/>
      </font>
    </dxf>
    <dxf>
      <font>
        <b/>
      </font>
    </dxf>
    <dxf>
      <font>
        <b/>
      </font>
    </dxf>
    <dxf>
      <font>
        <b/>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color rgb="FF3D5473"/>
      </font>
    </dxf>
    <dxf>
      <font>
        <color rgb="FF3D5473"/>
      </font>
    </dxf>
    <dxf>
      <font>
        <color rgb="FF3D5473"/>
      </font>
    </dxf>
    <dxf>
      <font>
        <color rgb="FF3D5473"/>
      </font>
    </dxf>
    <dxf>
      <font>
        <color rgb="FF3D5473"/>
      </font>
    </dxf>
    <dxf>
      <font>
        <color rgb="FF3D5473"/>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b/>
      </font>
    </dxf>
    <dxf>
      <font>
        <b/>
      </font>
    </dxf>
    <dxf>
      <font>
        <b/>
      </font>
    </dxf>
    <dxf>
      <font>
        <b/>
      </font>
    </dxf>
    <dxf>
      <font>
        <b/>
      </font>
    </dxf>
    <dxf>
      <font>
        <b/>
      </font>
    </dxf>
    <dxf>
      <font>
        <b/>
      </font>
    </dxf>
    <dxf>
      <font>
        <b/>
      </font>
    </dxf>
    <dxf>
      <font>
        <b/>
      </font>
    </dxf>
    <dxf>
      <font>
        <b/>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color rgb="FF3D5473"/>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i val="0"/>
        <strike val="0"/>
        <condense val="0"/>
        <extend val="0"/>
        <outline val="0"/>
        <shadow val="0"/>
        <u val="none"/>
        <vertAlign val="baseline"/>
        <sz val="11"/>
        <color theme="1"/>
        <name val="Calibri"/>
        <family val="2"/>
        <scheme val="minor"/>
      </font>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2" defaultTableStyle="TableStyleMedium2" defaultPivotStyle="PivotStyleLight16">
    <tableStyle name="Slicer Style 1" pivot="0" table="0" count="1" xr9:uid="{B850D7E2-C724-4E03-A611-819F9E76792F}"/>
    <tableStyle name="Slicer Style 2" pivot="0" table="0" count="1" xr9:uid="{578D275C-0E19-4BEC-BE13-FABE9E2B768E}"/>
  </tableStyles>
  <colors>
    <mruColors>
      <color rgb="FF3D5473"/>
      <color rgb="FF605E5C"/>
      <color rgb="FFEBEBF2"/>
      <color rgb="FFDCE2F2"/>
      <color rgb="FFF2F2F2"/>
      <color rgb="FFA61C35"/>
      <color rgb="FF314259"/>
    </mruColors>
  </colors>
  <extLst>
    <ext xmlns:x14="http://schemas.microsoft.com/office/spreadsheetml/2009/9/main" uri="{46F421CA-312F-682f-3DD2-61675219B42D}">
      <x14:dxfs count="2">
        <dxf>
          <font>
            <b/>
            <i val="0"/>
            <sz val="11"/>
            <color theme="1" tint="0.24994659260841701"/>
            <name val="Candara"/>
            <family val="2"/>
            <scheme val="none"/>
          </font>
          <fill>
            <patternFill>
              <bgColor rgb="FF3D5473"/>
            </patternFill>
          </fill>
          <border>
            <left style="thin">
              <color auto="1"/>
            </left>
            <right style="thin">
              <color auto="1"/>
            </right>
            <top style="thin">
              <color auto="1"/>
            </top>
            <bottom style="thin">
              <color auto="1"/>
            </bottom>
          </border>
        </dxf>
        <dxf>
          <font>
            <b/>
            <i val="0"/>
            <sz val="11"/>
            <color rgb="FF605E5C"/>
            <name val="Candara"/>
            <family val="2"/>
            <scheme val="none"/>
          </font>
          <fill>
            <patternFill>
              <fgColor rgb="FF3D5473"/>
              <bgColor rgb="FF3D5473"/>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Data.xlsx]Avenues by Gender!PivotTable1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rgbClr val="3D5473"/>
                </a:solidFill>
                <a:latin typeface="Candara" panose="020E0502030303020204" pitchFamily="34" charset="0"/>
              </a:rPr>
              <a:t>Preferred Investment Avenues by Gender</a:t>
            </a:r>
            <a:endParaRPr lang="en-US" sz="110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'Avenues by Gender'!$B$3:$B$4</c:f>
              <c:strCache>
                <c:ptCount val="1"/>
                <c:pt idx="0">
                  <c:v>Female</c:v>
                </c:pt>
              </c:strCache>
            </c:strRef>
          </c:tx>
          <c:spPr>
            <a:solidFill>
              <a:srgbClr val="DCE2F2"/>
            </a:solidFill>
            <a:ln>
              <a:noFill/>
            </a:ln>
            <a:effectLst/>
          </c:spPr>
          <c:invertIfNegative val="0"/>
          <c:cat>
            <c:strRef>
              <c:f>'Avenues by Gender'!$A$5:$A$9</c:f>
              <c:strCache>
                <c:ptCount val="4"/>
                <c:pt idx="0">
                  <c:v>Equity</c:v>
                </c:pt>
                <c:pt idx="1">
                  <c:v>Fixed Deposits</c:v>
                </c:pt>
                <c:pt idx="2">
                  <c:v>Mutual Fund</c:v>
                </c:pt>
                <c:pt idx="3">
                  <c:v>Public Provident Fund</c:v>
                </c:pt>
              </c:strCache>
            </c:strRef>
          </c:cat>
          <c:val>
            <c:numRef>
              <c:f>'Avenues by Gender'!$B$5:$B$9</c:f>
              <c:numCache>
                <c:formatCode>General</c:formatCode>
                <c:ptCount val="4"/>
                <c:pt idx="0">
                  <c:v>3</c:v>
                </c:pt>
                <c:pt idx="1">
                  <c:v>3</c:v>
                </c:pt>
                <c:pt idx="2">
                  <c:v>8</c:v>
                </c:pt>
                <c:pt idx="3">
                  <c:v>1</c:v>
                </c:pt>
              </c:numCache>
            </c:numRef>
          </c:val>
          <c:extLst>
            <c:ext xmlns:c16="http://schemas.microsoft.com/office/drawing/2014/chart" uri="{C3380CC4-5D6E-409C-BE32-E72D297353CC}">
              <c16:uniqueId val="{00000000-66BC-4B7D-AC07-054BCD960CD7}"/>
            </c:ext>
          </c:extLst>
        </c:ser>
        <c:ser>
          <c:idx val="1"/>
          <c:order val="1"/>
          <c:tx>
            <c:strRef>
              <c:f>'Avenues by Gender'!$C$3:$C$4</c:f>
              <c:strCache>
                <c:ptCount val="1"/>
                <c:pt idx="0">
                  <c:v>Male</c:v>
                </c:pt>
              </c:strCache>
            </c:strRef>
          </c:tx>
          <c:spPr>
            <a:solidFill>
              <a:srgbClr val="3D5473"/>
            </a:solidFill>
            <a:ln>
              <a:noFill/>
            </a:ln>
            <a:effectLst/>
          </c:spPr>
          <c:invertIfNegative val="0"/>
          <c:cat>
            <c:strRef>
              <c:f>'Avenues by Gender'!$A$5:$A$9</c:f>
              <c:strCache>
                <c:ptCount val="4"/>
                <c:pt idx="0">
                  <c:v>Equity</c:v>
                </c:pt>
                <c:pt idx="1">
                  <c:v>Fixed Deposits</c:v>
                </c:pt>
                <c:pt idx="2">
                  <c:v>Mutual Fund</c:v>
                </c:pt>
                <c:pt idx="3">
                  <c:v>Public Provident Fund</c:v>
                </c:pt>
              </c:strCache>
            </c:strRef>
          </c:cat>
          <c:val>
            <c:numRef>
              <c:f>'Avenues by Gender'!$C$5:$C$9</c:f>
              <c:numCache>
                <c:formatCode>General</c:formatCode>
                <c:ptCount val="4"/>
                <c:pt idx="0">
                  <c:v>7</c:v>
                </c:pt>
                <c:pt idx="1">
                  <c:v>6</c:v>
                </c:pt>
                <c:pt idx="2">
                  <c:v>10</c:v>
                </c:pt>
                <c:pt idx="3">
                  <c:v>2</c:v>
                </c:pt>
              </c:numCache>
            </c:numRef>
          </c:val>
          <c:extLst>
            <c:ext xmlns:c16="http://schemas.microsoft.com/office/drawing/2014/chart" uri="{C3380CC4-5D6E-409C-BE32-E72D297353CC}">
              <c16:uniqueId val="{00000001-66BC-4B7D-AC07-054BCD960CD7}"/>
            </c:ext>
          </c:extLst>
        </c:ser>
        <c:dLbls>
          <c:showLegendKey val="0"/>
          <c:showVal val="0"/>
          <c:showCatName val="0"/>
          <c:showSerName val="0"/>
          <c:showPercent val="0"/>
          <c:showBubbleSize val="0"/>
        </c:dLbls>
        <c:gapWidth val="219"/>
        <c:overlap val="-27"/>
        <c:axId val="2036197360"/>
        <c:axId val="2036199280"/>
      </c:barChart>
      <c:catAx>
        <c:axId val="2036197360"/>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36199280"/>
        <c:crosses val="autoZero"/>
        <c:auto val="1"/>
        <c:lblAlgn val="ctr"/>
        <c:lblOffset val="100"/>
        <c:noMultiLvlLbl val="0"/>
      </c:catAx>
      <c:valAx>
        <c:axId val="203619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3619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Data.xlsx]Investment Pref by Age Group!PivotTable2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3D5473"/>
                </a:solidFill>
                <a:latin typeface="Candara" panose="020E0502030303020204" pitchFamily="34" charset="0"/>
              </a:rPr>
              <a:t>Investment Preferences by Age</a:t>
            </a:r>
            <a:r>
              <a:rPr lang="en-US" sz="1050" b="1" baseline="0">
                <a:solidFill>
                  <a:srgbClr val="3D5473"/>
                </a:solidFill>
                <a:latin typeface="Candara" panose="020E0502030303020204" pitchFamily="34" charset="0"/>
              </a:rPr>
              <a:t> Group</a:t>
            </a:r>
            <a:endParaRPr lang="en-US" sz="105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'Investment Pref by Age Group'!$B$3</c:f>
              <c:strCache>
                <c:ptCount val="1"/>
                <c:pt idx="0">
                  <c:v>Total</c:v>
                </c:pt>
              </c:strCache>
            </c:strRef>
          </c:tx>
          <c:spPr>
            <a:solidFill>
              <a:srgbClr val="3D5473"/>
            </a:solidFill>
            <a:ln>
              <a:noFill/>
            </a:ln>
            <a:effectLst/>
          </c:spPr>
          <c:invertIfNegative val="0"/>
          <c:cat>
            <c:strRef>
              <c:f>'Investment Pref by Age Group'!$A$4:$A$7</c:f>
              <c:strCache>
                <c:ptCount val="3"/>
                <c:pt idx="0">
                  <c:v>Early Adulthood</c:v>
                </c:pt>
                <c:pt idx="1">
                  <c:v>Established Adulthood</c:v>
                </c:pt>
                <c:pt idx="2">
                  <c:v>Experienced Adulthood</c:v>
                </c:pt>
              </c:strCache>
            </c:strRef>
          </c:cat>
          <c:val>
            <c:numRef>
              <c:f>'Investment Pref by Age Group'!$B$4:$B$7</c:f>
              <c:numCache>
                <c:formatCode>General</c:formatCode>
                <c:ptCount val="3"/>
                <c:pt idx="0">
                  <c:v>10</c:v>
                </c:pt>
                <c:pt idx="1">
                  <c:v>21</c:v>
                </c:pt>
                <c:pt idx="2">
                  <c:v>9</c:v>
                </c:pt>
              </c:numCache>
            </c:numRef>
          </c:val>
          <c:extLst>
            <c:ext xmlns:c16="http://schemas.microsoft.com/office/drawing/2014/chart" uri="{C3380CC4-5D6E-409C-BE32-E72D297353CC}">
              <c16:uniqueId val="{00000000-CED0-497F-BFD9-F8C428D0064E}"/>
            </c:ext>
          </c:extLst>
        </c:ser>
        <c:dLbls>
          <c:showLegendKey val="0"/>
          <c:showVal val="0"/>
          <c:showCatName val="0"/>
          <c:showSerName val="0"/>
          <c:showPercent val="0"/>
          <c:showBubbleSize val="0"/>
        </c:dLbls>
        <c:gapWidth val="219"/>
        <c:overlap val="-27"/>
        <c:axId val="1681314816"/>
        <c:axId val="1681312416"/>
      </c:barChart>
      <c:catAx>
        <c:axId val="1681314816"/>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1681312416"/>
        <c:crosses val="autoZero"/>
        <c:auto val="1"/>
        <c:lblAlgn val="ctr"/>
        <c:lblOffset val="100"/>
        <c:noMultiLvlLbl val="0"/>
      </c:catAx>
      <c:valAx>
        <c:axId val="168131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168131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Data.xlsx]Factor by Age Group!PivotTable3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3D5473"/>
                </a:solidFill>
                <a:latin typeface="Candara" panose="020E0502030303020204" pitchFamily="34" charset="0"/>
              </a:rPr>
              <a:t>Investment Factor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'Factor by Age Group'!$B$3:$B$4</c:f>
              <c:strCache>
                <c:ptCount val="1"/>
                <c:pt idx="0">
                  <c:v>Locking Period</c:v>
                </c:pt>
              </c:strCache>
            </c:strRef>
          </c:tx>
          <c:spPr>
            <a:solidFill>
              <a:srgbClr val="EBEBF2"/>
            </a:solidFill>
            <a:ln>
              <a:noFill/>
            </a:ln>
            <a:effectLst/>
          </c:spPr>
          <c:invertIfNegative val="0"/>
          <c:cat>
            <c:strRef>
              <c:f>'Factor by Age Group'!$A$5:$A$8</c:f>
              <c:strCache>
                <c:ptCount val="3"/>
                <c:pt idx="0">
                  <c:v>Early Adulthood</c:v>
                </c:pt>
                <c:pt idx="1">
                  <c:v>Established Adulthood</c:v>
                </c:pt>
                <c:pt idx="2">
                  <c:v>Experienced Adulthood</c:v>
                </c:pt>
              </c:strCache>
            </c:strRef>
          </c:cat>
          <c:val>
            <c:numRef>
              <c:f>'Factor by Age Group'!$B$5:$B$8</c:f>
              <c:numCache>
                <c:formatCode>General</c:formatCode>
                <c:ptCount val="3"/>
                <c:pt idx="0">
                  <c:v>1</c:v>
                </c:pt>
              </c:numCache>
            </c:numRef>
          </c:val>
          <c:extLst>
            <c:ext xmlns:c16="http://schemas.microsoft.com/office/drawing/2014/chart" uri="{C3380CC4-5D6E-409C-BE32-E72D297353CC}">
              <c16:uniqueId val="{00000000-E160-461A-82D2-0D6812E1025A}"/>
            </c:ext>
          </c:extLst>
        </c:ser>
        <c:ser>
          <c:idx val="1"/>
          <c:order val="1"/>
          <c:tx>
            <c:strRef>
              <c:f>'Factor by Age Group'!$C$3:$C$4</c:f>
              <c:strCache>
                <c:ptCount val="1"/>
                <c:pt idx="0">
                  <c:v>Returns</c:v>
                </c:pt>
              </c:strCache>
            </c:strRef>
          </c:tx>
          <c:spPr>
            <a:solidFill>
              <a:srgbClr val="3D5473"/>
            </a:solidFill>
            <a:ln>
              <a:noFill/>
            </a:ln>
            <a:effectLst/>
          </c:spPr>
          <c:invertIfNegative val="0"/>
          <c:cat>
            <c:strRef>
              <c:f>'Factor by Age Group'!$A$5:$A$8</c:f>
              <c:strCache>
                <c:ptCount val="3"/>
                <c:pt idx="0">
                  <c:v>Early Adulthood</c:v>
                </c:pt>
                <c:pt idx="1">
                  <c:v>Established Adulthood</c:v>
                </c:pt>
                <c:pt idx="2">
                  <c:v>Experienced Adulthood</c:v>
                </c:pt>
              </c:strCache>
            </c:strRef>
          </c:cat>
          <c:val>
            <c:numRef>
              <c:f>'Factor by Age Group'!$C$5:$C$8</c:f>
              <c:numCache>
                <c:formatCode>General</c:formatCode>
                <c:ptCount val="3"/>
                <c:pt idx="0">
                  <c:v>4</c:v>
                </c:pt>
                <c:pt idx="1">
                  <c:v>16</c:v>
                </c:pt>
                <c:pt idx="2">
                  <c:v>5</c:v>
                </c:pt>
              </c:numCache>
            </c:numRef>
          </c:val>
          <c:extLst>
            <c:ext xmlns:c16="http://schemas.microsoft.com/office/drawing/2014/chart" uri="{C3380CC4-5D6E-409C-BE32-E72D297353CC}">
              <c16:uniqueId val="{00000001-E160-461A-82D2-0D6812E1025A}"/>
            </c:ext>
          </c:extLst>
        </c:ser>
        <c:ser>
          <c:idx val="2"/>
          <c:order val="2"/>
          <c:tx>
            <c:strRef>
              <c:f>'Factor by Age Group'!$D$3:$D$4</c:f>
              <c:strCache>
                <c:ptCount val="1"/>
                <c:pt idx="0">
                  <c:v>Risk</c:v>
                </c:pt>
              </c:strCache>
            </c:strRef>
          </c:tx>
          <c:spPr>
            <a:solidFill>
              <a:srgbClr val="DCE2F2"/>
            </a:solidFill>
            <a:ln>
              <a:noFill/>
            </a:ln>
            <a:effectLst/>
          </c:spPr>
          <c:invertIfNegative val="0"/>
          <c:cat>
            <c:strRef>
              <c:f>'Factor by Age Group'!$A$5:$A$8</c:f>
              <c:strCache>
                <c:ptCount val="3"/>
                <c:pt idx="0">
                  <c:v>Early Adulthood</c:v>
                </c:pt>
                <c:pt idx="1">
                  <c:v>Established Adulthood</c:v>
                </c:pt>
                <c:pt idx="2">
                  <c:v>Experienced Adulthood</c:v>
                </c:pt>
              </c:strCache>
            </c:strRef>
          </c:cat>
          <c:val>
            <c:numRef>
              <c:f>'Factor by Age Group'!$D$5:$D$8</c:f>
              <c:numCache>
                <c:formatCode>General</c:formatCode>
                <c:ptCount val="3"/>
                <c:pt idx="0">
                  <c:v>5</c:v>
                </c:pt>
                <c:pt idx="1">
                  <c:v>5</c:v>
                </c:pt>
                <c:pt idx="2">
                  <c:v>4</c:v>
                </c:pt>
              </c:numCache>
            </c:numRef>
          </c:val>
          <c:extLst>
            <c:ext xmlns:c16="http://schemas.microsoft.com/office/drawing/2014/chart" uri="{C3380CC4-5D6E-409C-BE32-E72D297353CC}">
              <c16:uniqueId val="{00000002-E160-461A-82D2-0D6812E1025A}"/>
            </c:ext>
          </c:extLst>
        </c:ser>
        <c:dLbls>
          <c:showLegendKey val="0"/>
          <c:showVal val="0"/>
          <c:showCatName val="0"/>
          <c:showSerName val="0"/>
          <c:showPercent val="0"/>
          <c:showBubbleSize val="0"/>
        </c:dLbls>
        <c:gapWidth val="219"/>
        <c:overlap val="-27"/>
        <c:axId val="42793968"/>
        <c:axId val="42792048"/>
      </c:barChart>
      <c:catAx>
        <c:axId val="42793968"/>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42792048"/>
        <c:crosses val="autoZero"/>
        <c:auto val="1"/>
        <c:lblAlgn val="ctr"/>
        <c:lblOffset val="100"/>
        <c:noMultiLvlLbl val="0"/>
      </c:catAx>
      <c:valAx>
        <c:axId val="4279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4279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Data.xlsx]Savings_Obj by Duration!PivotTable4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3D5473"/>
                </a:solidFill>
                <a:latin typeface="Candara" panose="020E0502030303020204" pitchFamily="34" charset="0"/>
              </a:rPr>
              <a:t>Savings Objectives</a:t>
            </a:r>
            <a:r>
              <a:rPr lang="en-US" sz="1050" b="1" baseline="0">
                <a:solidFill>
                  <a:srgbClr val="3D5473"/>
                </a:solidFill>
                <a:latin typeface="Candara" panose="020E0502030303020204" pitchFamily="34" charset="0"/>
              </a:rPr>
              <a:t> by Investment Duration</a:t>
            </a:r>
            <a:endParaRPr lang="en-US" sz="105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'Savings_Obj by Duration'!$B$3:$B$4</c:f>
              <c:strCache>
                <c:ptCount val="1"/>
                <c:pt idx="0">
                  <c:v>Education</c:v>
                </c:pt>
              </c:strCache>
            </c:strRef>
          </c:tx>
          <c:spPr>
            <a:solidFill>
              <a:srgbClr val="EBEBF2"/>
            </a:solidFill>
            <a:ln>
              <a:noFill/>
            </a:ln>
            <a:effectLst/>
          </c:spPr>
          <c:invertIfNegative val="0"/>
          <c:cat>
            <c:strRef>
              <c:f>'Savings_Obj by Duration'!$A$5:$A$9</c:f>
              <c:strCache>
                <c:ptCount val="4"/>
                <c:pt idx="0">
                  <c:v>1-3 years</c:v>
                </c:pt>
                <c:pt idx="1">
                  <c:v>3-5 years</c:v>
                </c:pt>
                <c:pt idx="2">
                  <c:v>Less than 1 year</c:v>
                </c:pt>
                <c:pt idx="3">
                  <c:v>More than 5 years</c:v>
                </c:pt>
              </c:strCache>
            </c:strRef>
          </c:cat>
          <c:val>
            <c:numRef>
              <c:f>'Savings_Obj by Duration'!$B$5:$B$9</c:f>
              <c:numCache>
                <c:formatCode>General</c:formatCode>
                <c:ptCount val="4"/>
                <c:pt idx="0">
                  <c:v>3</c:v>
                </c:pt>
              </c:numCache>
            </c:numRef>
          </c:val>
          <c:extLst>
            <c:ext xmlns:c16="http://schemas.microsoft.com/office/drawing/2014/chart" uri="{C3380CC4-5D6E-409C-BE32-E72D297353CC}">
              <c16:uniqueId val="{00000000-0478-4698-8BF4-9AC8B4023C10}"/>
            </c:ext>
          </c:extLst>
        </c:ser>
        <c:ser>
          <c:idx val="1"/>
          <c:order val="1"/>
          <c:tx>
            <c:strRef>
              <c:f>'Savings_Obj by Duration'!$C$3:$C$4</c:f>
              <c:strCache>
                <c:ptCount val="1"/>
                <c:pt idx="0">
                  <c:v>Health Care</c:v>
                </c:pt>
              </c:strCache>
            </c:strRef>
          </c:tx>
          <c:spPr>
            <a:solidFill>
              <a:srgbClr val="DCE2F2"/>
            </a:solidFill>
            <a:ln>
              <a:noFill/>
            </a:ln>
            <a:effectLst/>
          </c:spPr>
          <c:invertIfNegative val="0"/>
          <c:cat>
            <c:strRef>
              <c:f>'Savings_Obj by Duration'!$A$5:$A$9</c:f>
              <c:strCache>
                <c:ptCount val="4"/>
                <c:pt idx="0">
                  <c:v>1-3 years</c:v>
                </c:pt>
                <c:pt idx="1">
                  <c:v>3-5 years</c:v>
                </c:pt>
                <c:pt idx="2">
                  <c:v>Less than 1 year</c:v>
                </c:pt>
                <c:pt idx="3">
                  <c:v>More than 5 years</c:v>
                </c:pt>
              </c:strCache>
            </c:strRef>
          </c:cat>
          <c:val>
            <c:numRef>
              <c:f>'Savings_Obj by Duration'!$C$5:$C$9</c:f>
              <c:numCache>
                <c:formatCode>General</c:formatCode>
                <c:ptCount val="4"/>
                <c:pt idx="0">
                  <c:v>6</c:v>
                </c:pt>
                <c:pt idx="1">
                  <c:v>6</c:v>
                </c:pt>
                <c:pt idx="3">
                  <c:v>1</c:v>
                </c:pt>
              </c:numCache>
            </c:numRef>
          </c:val>
          <c:extLst>
            <c:ext xmlns:c16="http://schemas.microsoft.com/office/drawing/2014/chart" uri="{C3380CC4-5D6E-409C-BE32-E72D297353CC}">
              <c16:uniqueId val="{00000001-0478-4698-8BF4-9AC8B4023C10}"/>
            </c:ext>
          </c:extLst>
        </c:ser>
        <c:ser>
          <c:idx val="2"/>
          <c:order val="2"/>
          <c:tx>
            <c:strRef>
              <c:f>'Savings_Obj by Duration'!$D$3:$D$4</c:f>
              <c:strCache>
                <c:ptCount val="1"/>
                <c:pt idx="0">
                  <c:v>Retirement Plan</c:v>
                </c:pt>
              </c:strCache>
            </c:strRef>
          </c:tx>
          <c:spPr>
            <a:solidFill>
              <a:srgbClr val="3D5473"/>
            </a:solidFill>
            <a:ln>
              <a:noFill/>
            </a:ln>
            <a:effectLst/>
          </c:spPr>
          <c:invertIfNegative val="0"/>
          <c:cat>
            <c:strRef>
              <c:f>'Savings_Obj by Duration'!$A$5:$A$9</c:f>
              <c:strCache>
                <c:ptCount val="4"/>
                <c:pt idx="0">
                  <c:v>1-3 years</c:v>
                </c:pt>
                <c:pt idx="1">
                  <c:v>3-5 years</c:v>
                </c:pt>
                <c:pt idx="2">
                  <c:v>Less than 1 year</c:v>
                </c:pt>
                <c:pt idx="3">
                  <c:v>More than 5 years</c:v>
                </c:pt>
              </c:strCache>
            </c:strRef>
          </c:cat>
          <c:val>
            <c:numRef>
              <c:f>'Savings_Obj by Duration'!$D$5:$D$9</c:f>
              <c:numCache>
                <c:formatCode>General</c:formatCode>
                <c:ptCount val="4"/>
                <c:pt idx="0">
                  <c:v>9</c:v>
                </c:pt>
                <c:pt idx="1">
                  <c:v>13</c:v>
                </c:pt>
                <c:pt idx="2">
                  <c:v>2</c:v>
                </c:pt>
              </c:numCache>
            </c:numRef>
          </c:val>
          <c:extLst>
            <c:ext xmlns:c16="http://schemas.microsoft.com/office/drawing/2014/chart" uri="{C3380CC4-5D6E-409C-BE32-E72D297353CC}">
              <c16:uniqueId val="{00000002-0478-4698-8BF4-9AC8B4023C10}"/>
            </c:ext>
          </c:extLst>
        </c:ser>
        <c:dLbls>
          <c:showLegendKey val="0"/>
          <c:showVal val="0"/>
          <c:showCatName val="0"/>
          <c:showSerName val="0"/>
          <c:showPercent val="0"/>
          <c:showBubbleSize val="0"/>
        </c:dLbls>
        <c:gapWidth val="150"/>
        <c:overlap val="100"/>
        <c:axId val="38481696"/>
        <c:axId val="38479296"/>
      </c:barChart>
      <c:catAx>
        <c:axId val="38481696"/>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38479296"/>
        <c:crosses val="autoZero"/>
        <c:auto val="1"/>
        <c:lblAlgn val="ctr"/>
        <c:lblOffset val="100"/>
        <c:noMultiLvlLbl val="0"/>
      </c:catAx>
      <c:valAx>
        <c:axId val="384792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3848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Data.xlsx]Mutual Funds Reasons by Expect!PivotTable5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solidFill>
                  <a:srgbClr val="3D5473"/>
                </a:solidFill>
                <a:latin typeface="Candara" panose="020E0502030303020204" pitchFamily="34" charset="0"/>
              </a:rPr>
              <a:t>Mutual Funds Reasons by Expected Return</a:t>
            </a:r>
            <a:endParaRPr lang="en-US" sz="105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'Mutual Funds Reasons by Expect'!$B$3:$B$4</c:f>
              <c:strCache>
                <c:ptCount val="1"/>
                <c:pt idx="0">
                  <c:v>Better Returns</c:v>
                </c:pt>
              </c:strCache>
            </c:strRef>
          </c:tx>
          <c:spPr>
            <a:solidFill>
              <a:srgbClr val="3D5473"/>
            </a:solidFill>
            <a:ln>
              <a:noFill/>
            </a:ln>
            <a:effectLst/>
          </c:spPr>
          <c:invertIfNegative val="0"/>
          <c:cat>
            <c:strRef>
              <c:f>'Mutual Funds Reasons by Expect'!$A$5:$A$8</c:f>
              <c:strCache>
                <c:ptCount val="3"/>
                <c:pt idx="0">
                  <c:v>10%-20%</c:v>
                </c:pt>
                <c:pt idx="1">
                  <c:v>20%-30%</c:v>
                </c:pt>
                <c:pt idx="2">
                  <c:v>30%-40%</c:v>
                </c:pt>
              </c:strCache>
            </c:strRef>
          </c:cat>
          <c:val>
            <c:numRef>
              <c:f>'Mutual Funds Reasons by Expect'!$B$5:$B$8</c:f>
              <c:numCache>
                <c:formatCode>General</c:formatCode>
                <c:ptCount val="3"/>
                <c:pt idx="1">
                  <c:v>11</c:v>
                </c:pt>
              </c:numCache>
            </c:numRef>
          </c:val>
          <c:extLst>
            <c:ext xmlns:c16="http://schemas.microsoft.com/office/drawing/2014/chart" uri="{C3380CC4-5D6E-409C-BE32-E72D297353CC}">
              <c16:uniqueId val="{00000000-D6B9-4A27-B64C-ADF52D78917D}"/>
            </c:ext>
          </c:extLst>
        </c:ser>
        <c:ser>
          <c:idx val="1"/>
          <c:order val="1"/>
          <c:tx>
            <c:strRef>
              <c:f>'Mutual Funds Reasons by Expect'!$C$3:$C$4</c:f>
              <c:strCache>
                <c:ptCount val="1"/>
                <c:pt idx="0">
                  <c:v>Fund Diversification</c:v>
                </c:pt>
              </c:strCache>
            </c:strRef>
          </c:tx>
          <c:spPr>
            <a:solidFill>
              <a:srgbClr val="DCE2F2"/>
            </a:solidFill>
            <a:ln>
              <a:noFill/>
            </a:ln>
            <a:effectLst/>
          </c:spPr>
          <c:invertIfNegative val="0"/>
          <c:cat>
            <c:strRef>
              <c:f>'Mutual Funds Reasons by Expect'!$A$5:$A$8</c:f>
              <c:strCache>
                <c:ptCount val="3"/>
                <c:pt idx="0">
                  <c:v>10%-20%</c:v>
                </c:pt>
                <c:pt idx="1">
                  <c:v>20%-30%</c:v>
                </c:pt>
                <c:pt idx="2">
                  <c:v>30%-40%</c:v>
                </c:pt>
              </c:strCache>
            </c:strRef>
          </c:cat>
          <c:val>
            <c:numRef>
              <c:f>'Mutual Funds Reasons by Expect'!$C$5:$C$8</c:f>
              <c:numCache>
                <c:formatCode>General</c:formatCode>
                <c:ptCount val="3"/>
                <c:pt idx="1">
                  <c:v>4</c:v>
                </c:pt>
                <c:pt idx="2">
                  <c:v>1</c:v>
                </c:pt>
              </c:numCache>
            </c:numRef>
          </c:val>
          <c:extLst>
            <c:ext xmlns:c16="http://schemas.microsoft.com/office/drawing/2014/chart" uri="{C3380CC4-5D6E-409C-BE32-E72D297353CC}">
              <c16:uniqueId val="{00000001-D6B9-4A27-B64C-ADF52D78917D}"/>
            </c:ext>
          </c:extLst>
        </c:ser>
        <c:ser>
          <c:idx val="2"/>
          <c:order val="2"/>
          <c:tx>
            <c:strRef>
              <c:f>'Mutual Funds Reasons by Expect'!$D$3:$D$4</c:f>
              <c:strCache>
                <c:ptCount val="1"/>
                <c:pt idx="0">
                  <c:v>Tax Benefits</c:v>
                </c:pt>
              </c:strCache>
            </c:strRef>
          </c:tx>
          <c:spPr>
            <a:solidFill>
              <a:srgbClr val="EBEBF2"/>
            </a:solidFill>
            <a:ln>
              <a:noFill/>
            </a:ln>
            <a:effectLst/>
          </c:spPr>
          <c:invertIfNegative val="0"/>
          <c:cat>
            <c:strRef>
              <c:f>'Mutual Funds Reasons by Expect'!$A$5:$A$8</c:f>
              <c:strCache>
                <c:ptCount val="3"/>
                <c:pt idx="0">
                  <c:v>10%-20%</c:v>
                </c:pt>
                <c:pt idx="1">
                  <c:v>20%-30%</c:v>
                </c:pt>
                <c:pt idx="2">
                  <c:v>30%-40%</c:v>
                </c:pt>
              </c:strCache>
            </c:strRef>
          </c:cat>
          <c:val>
            <c:numRef>
              <c:f>'Mutual Funds Reasons by Expect'!$D$5:$D$8</c:f>
              <c:numCache>
                <c:formatCode>General</c:formatCode>
                <c:ptCount val="3"/>
                <c:pt idx="0">
                  <c:v>2</c:v>
                </c:pt>
              </c:numCache>
            </c:numRef>
          </c:val>
          <c:extLst>
            <c:ext xmlns:c16="http://schemas.microsoft.com/office/drawing/2014/chart" uri="{C3380CC4-5D6E-409C-BE32-E72D297353CC}">
              <c16:uniqueId val="{00000002-D6B9-4A27-B64C-ADF52D78917D}"/>
            </c:ext>
          </c:extLst>
        </c:ser>
        <c:dLbls>
          <c:dLblPos val="ctr"/>
          <c:showLegendKey val="0"/>
          <c:showVal val="0"/>
          <c:showCatName val="0"/>
          <c:showSerName val="0"/>
          <c:showPercent val="0"/>
          <c:showBubbleSize val="0"/>
        </c:dLbls>
        <c:gapWidth val="150"/>
        <c:overlap val="100"/>
        <c:axId val="2038378208"/>
        <c:axId val="2038379648"/>
      </c:barChart>
      <c:catAx>
        <c:axId val="2038378208"/>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38379648"/>
        <c:crosses val="autoZero"/>
        <c:auto val="1"/>
        <c:lblAlgn val="ctr"/>
        <c:lblOffset val="100"/>
        <c:noMultiLvlLbl val="0"/>
      </c:catAx>
      <c:valAx>
        <c:axId val="20383796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3837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Data.xlsx]Savings_Obj by Return!PivotTable6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solidFill>
                  <a:srgbClr val="3D5473"/>
                </a:solidFill>
                <a:latin typeface="Candara" panose="020E0502030303020204" pitchFamily="34" charset="0"/>
              </a:rPr>
              <a:t>Savings Objectives by Expected Return Range</a:t>
            </a:r>
            <a:endParaRPr lang="en-US" sz="105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'Savings_Obj by Return'!$B$3:$B$4</c:f>
              <c:strCache>
                <c:ptCount val="1"/>
                <c:pt idx="0">
                  <c:v>Education</c:v>
                </c:pt>
              </c:strCache>
            </c:strRef>
          </c:tx>
          <c:spPr>
            <a:solidFill>
              <a:srgbClr val="EBEBF2"/>
            </a:solidFill>
            <a:ln>
              <a:noFill/>
            </a:ln>
            <a:effectLst/>
          </c:spPr>
          <c:invertIfNegative val="0"/>
          <c:cat>
            <c:strRef>
              <c:f>'Savings_Obj by Return'!$A$5:$A$8</c:f>
              <c:strCache>
                <c:ptCount val="3"/>
                <c:pt idx="0">
                  <c:v>10%-20%</c:v>
                </c:pt>
                <c:pt idx="1">
                  <c:v>20%-30%</c:v>
                </c:pt>
                <c:pt idx="2">
                  <c:v>30%-40%</c:v>
                </c:pt>
              </c:strCache>
            </c:strRef>
          </c:cat>
          <c:val>
            <c:numRef>
              <c:f>'Savings_Obj by Return'!$B$5:$B$8</c:f>
              <c:numCache>
                <c:formatCode>General</c:formatCode>
                <c:ptCount val="3"/>
                <c:pt idx="0">
                  <c:v>1</c:v>
                </c:pt>
                <c:pt idx="1">
                  <c:v>2</c:v>
                </c:pt>
              </c:numCache>
            </c:numRef>
          </c:val>
          <c:extLst>
            <c:ext xmlns:c16="http://schemas.microsoft.com/office/drawing/2014/chart" uri="{C3380CC4-5D6E-409C-BE32-E72D297353CC}">
              <c16:uniqueId val="{00000000-21E1-46A3-B6AF-A50F288E995C}"/>
            </c:ext>
          </c:extLst>
        </c:ser>
        <c:ser>
          <c:idx val="1"/>
          <c:order val="1"/>
          <c:tx>
            <c:strRef>
              <c:f>'Savings_Obj by Return'!$C$3:$C$4</c:f>
              <c:strCache>
                <c:ptCount val="1"/>
                <c:pt idx="0">
                  <c:v>Health Care</c:v>
                </c:pt>
              </c:strCache>
            </c:strRef>
          </c:tx>
          <c:spPr>
            <a:solidFill>
              <a:srgbClr val="DCE2F2"/>
            </a:solidFill>
            <a:ln>
              <a:noFill/>
            </a:ln>
            <a:effectLst/>
          </c:spPr>
          <c:invertIfNegative val="0"/>
          <c:cat>
            <c:strRef>
              <c:f>'Savings_Obj by Return'!$A$5:$A$8</c:f>
              <c:strCache>
                <c:ptCount val="3"/>
                <c:pt idx="0">
                  <c:v>10%-20%</c:v>
                </c:pt>
                <c:pt idx="1">
                  <c:v>20%-30%</c:v>
                </c:pt>
                <c:pt idx="2">
                  <c:v>30%-40%</c:v>
                </c:pt>
              </c:strCache>
            </c:strRef>
          </c:cat>
          <c:val>
            <c:numRef>
              <c:f>'Savings_Obj by Return'!$C$5:$C$8</c:f>
              <c:numCache>
                <c:formatCode>General</c:formatCode>
                <c:ptCount val="3"/>
                <c:pt idx="1">
                  <c:v>11</c:v>
                </c:pt>
                <c:pt idx="2">
                  <c:v>2</c:v>
                </c:pt>
              </c:numCache>
            </c:numRef>
          </c:val>
          <c:extLst>
            <c:ext xmlns:c16="http://schemas.microsoft.com/office/drawing/2014/chart" uri="{C3380CC4-5D6E-409C-BE32-E72D297353CC}">
              <c16:uniqueId val="{00000001-21E1-46A3-B6AF-A50F288E995C}"/>
            </c:ext>
          </c:extLst>
        </c:ser>
        <c:ser>
          <c:idx val="2"/>
          <c:order val="2"/>
          <c:tx>
            <c:strRef>
              <c:f>'Savings_Obj by Return'!$D$3:$D$4</c:f>
              <c:strCache>
                <c:ptCount val="1"/>
                <c:pt idx="0">
                  <c:v>Retirement Plan</c:v>
                </c:pt>
              </c:strCache>
            </c:strRef>
          </c:tx>
          <c:spPr>
            <a:solidFill>
              <a:srgbClr val="3D5473"/>
            </a:solidFill>
            <a:ln>
              <a:noFill/>
            </a:ln>
            <a:effectLst/>
          </c:spPr>
          <c:invertIfNegative val="0"/>
          <c:cat>
            <c:strRef>
              <c:f>'Savings_Obj by Return'!$A$5:$A$8</c:f>
              <c:strCache>
                <c:ptCount val="3"/>
                <c:pt idx="0">
                  <c:v>10%-20%</c:v>
                </c:pt>
                <c:pt idx="1">
                  <c:v>20%-30%</c:v>
                </c:pt>
                <c:pt idx="2">
                  <c:v>30%-40%</c:v>
                </c:pt>
              </c:strCache>
            </c:strRef>
          </c:cat>
          <c:val>
            <c:numRef>
              <c:f>'Savings_Obj by Return'!$D$5:$D$8</c:f>
              <c:numCache>
                <c:formatCode>General</c:formatCode>
                <c:ptCount val="3"/>
                <c:pt idx="0">
                  <c:v>2</c:v>
                </c:pt>
                <c:pt idx="1">
                  <c:v>19</c:v>
                </c:pt>
                <c:pt idx="2">
                  <c:v>3</c:v>
                </c:pt>
              </c:numCache>
            </c:numRef>
          </c:val>
          <c:extLst>
            <c:ext xmlns:c16="http://schemas.microsoft.com/office/drawing/2014/chart" uri="{C3380CC4-5D6E-409C-BE32-E72D297353CC}">
              <c16:uniqueId val="{00000002-21E1-46A3-B6AF-A50F288E995C}"/>
            </c:ext>
          </c:extLst>
        </c:ser>
        <c:dLbls>
          <c:showLegendKey val="0"/>
          <c:showVal val="0"/>
          <c:showCatName val="0"/>
          <c:showSerName val="0"/>
          <c:showPercent val="0"/>
          <c:showBubbleSize val="0"/>
        </c:dLbls>
        <c:gapWidth val="219"/>
        <c:overlap val="-27"/>
        <c:axId val="42291216"/>
        <c:axId val="2070762064"/>
      </c:barChart>
      <c:catAx>
        <c:axId val="42291216"/>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70762064"/>
        <c:crosses val="autoZero"/>
        <c:auto val="1"/>
        <c:lblAlgn val="ctr"/>
        <c:lblOffset val="100"/>
        <c:noMultiLvlLbl val="0"/>
      </c:catAx>
      <c:valAx>
        <c:axId val="207076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4229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Data.xlsx]Avenues by Gender!PivotTable1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rgbClr val="3D5473"/>
                </a:solidFill>
                <a:latin typeface="Candara" panose="020E0502030303020204" pitchFamily="34" charset="0"/>
              </a:rPr>
              <a:t>Preferred Investment Avenues by Gender</a:t>
            </a:r>
            <a:endParaRPr lang="en-US" sz="110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'Avenues by Gender'!$B$3:$B$4</c:f>
              <c:strCache>
                <c:ptCount val="1"/>
                <c:pt idx="0">
                  <c:v>Female</c:v>
                </c:pt>
              </c:strCache>
            </c:strRef>
          </c:tx>
          <c:spPr>
            <a:solidFill>
              <a:srgbClr val="DCE2F2"/>
            </a:solidFill>
            <a:ln>
              <a:noFill/>
            </a:ln>
            <a:effectLst/>
          </c:spPr>
          <c:invertIfNegative val="0"/>
          <c:cat>
            <c:strRef>
              <c:f>'Avenues by Gender'!$A$5:$A$9</c:f>
              <c:strCache>
                <c:ptCount val="4"/>
                <c:pt idx="0">
                  <c:v>Equity</c:v>
                </c:pt>
                <c:pt idx="1">
                  <c:v>Fixed Deposits</c:v>
                </c:pt>
                <c:pt idx="2">
                  <c:v>Mutual Fund</c:v>
                </c:pt>
                <c:pt idx="3">
                  <c:v>Public Provident Fund</c:v>
                </c:pt>
              </c:strCache>
            </c:strRef>
          </c:cat>
          <c:val>
            <c:numRef>
              <c:f>'Avenues by Gender'!$B$5:$B$9</c:f>
              <c:numCache>
                <c:formatCode>General</c:formatCode>
                <c:ptCount val="4"/>
                <c:pt idx="0">
                  <c:v>3</c:v>
                </c:pt>
                <c:pt idx="1">
                  <c:v>3</c:v>
                </c:pt>
                <c:pt idx="2">
                  <c:v>8</c:v>
                </c:pt>
                <c:pt idx="3">
                  <c:v>1</c:v>
                </c:pt>
              </c:numCache>
            </c:numRef>
          </c:val>
          <c:extLst>
            <c:ext xmlns:c16="http://schemas.microsoft.com/office/drawing/2014/chart" uri="{C3380CC4-5D6E-409C-BE32-E72D297353CC}">
              <c16:uniqueId val="{00000000-73E0-4AB3-9916-1954FDE18784}"/>
            </c:ext>
          </c:extLst>
        </c:ser>
        <c:ser>
          <c:idx val="1"/>
          <c:order val="1"/>
          <c:tx>
            <c:strRef>
              <c:f>'Avenues by Gender'!$C$3:$C$4</c:f>
              <c:strCache>
                <c:ptCount val="1"/>
                <c:pt idx="0">
                  <c:v>Male</c:v>
                </c:pt>
              </c:strCache>
            </c:strRef>
          </c:tx>
          <c:spPr>
            <a:solidFill>
              <a:srgbClr val="3D5473"/>
            </a:solidFill>
            <a:ln>
              <a:noFill/>
            </a:ln>
            <a:effectLst/>
          </c:spPr>
          <c:invertIfNegative val="0"/>
          <c:cat>
            <c:strRef>
              <c:f>'Avenues by Gender'!$A$5:$A$9</c:f>
              <c:strCache>
                <c:ptCount val="4"/>
                <c:pt idx="0">
                  <c:v>Equity</c:v>
                </c:pt>
                <c:pt idx="1">
                  <c:v>Fixed Deposits</c:v>
                </c:pt>
                <c:pt idx="2">
                  <c:v>Mutual Fund</c:v>
                </c:pt>
                <c:pt idx="3">
                  <c:v>Public Provident Fund</c:v>
                </c:pt>
              </c:strCache>
            </c:strRef>
          </c:cat>
          <c:val>
            <c:numRef>
              <c:f>'Avenues by Gender'!$C$5:$C$9</c:f>
              <c:numCache>
                <c:formatCode>General</c:formatCode>
                <c:ptCount val="4"/>
                <c:pt idx="0">
                  <c:v>7</c:v>
                </c:pt>
                <c:pt idx="1">
                  <c:v>6</c:v>
                </c:pt>
                <c:pt idx="2">
                  <c:v>10</c:v>
                </c:pt>
                <c:pt idx="3">
                  <c:v>2</c:v>
                </c:pt>
              </c:numCache>
            </c:numRef>
          </c:val>
          <c:extLst>
            <c:ext xmlns:c16="http://schemas.microsoft.com/office/drawing/2014/chart" uri="{C3380CC4-5D6E-409C-BE32-E72D297353CC}">
              <c16:uniqueId val="{00000001-73E0-4AB3-9916-1954FDE18784}"/>
            </c:ext>
          </c:extLst>
        </c:ser>
        <c:dLbls>
          <c:showLegendKey val="0"/>
          <c:showVal val="0"/>
          <c:showCatName val="0"/>
          <c:showSerName val="0"/>
          <c:showPercent val="0"/>
          <c:showBubbleSize val="0"/>
        </c:dLbls>
        <c:gapWidth val="219"/>
        <c:overlap val="-27"/>
        <c:axId val="2036197360"/>
        <c:axId val="2036199280"/>
      </c:barChart>
      <c:catAx>
        <c:axId val="2036197360"/>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36199280"/>
        <c:crosses val="autoZero"/>
        <c:auto val="1"/>
        <c:lblAlgn val="ctr"/>
        <c:lblOffset val="100"/>
        <c:noMultiLvlLbl val="0"/>
      </c:catAx>
      <c:valAx>
        <c:axId val="203619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3619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Data.xlsx]Investment Pref by Age Group!PivotTable2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3D5473"/>
                </a:solidFill>
                <a:latin typeface="Candara" panose="020E0502030303020204" pitchFamily="34" charset="0"/>
              </a:rPr>
              <a:t>Investment Preferences by Age</a:t>
            </a:r>
            <a:r>
              <a:rPr lang="en-US" sz="1050" b="1" baseline="0">
                <a:solidFill>
                  <a:srgbClr val="3D5473"/>
                </a:solidFill>
                <a:latin typeface="Candara" panose="020E0502030303020204" pitchFamily="34" charset="0"/>
              </a:rPr>
              <a:t> Group</a:t>
            </a:r>
            <a:endParaRPr lang="en-US" sz="105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54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3D54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'Investment Pref by Age Group'!$B$3</c:f>
              <c:strCache>
                <c:ptCount val="1"/>
                <c:pt idx="0">
                  <c:v>Total</c:v>
                </c:pt>
              </c:strCache>
            </c:strRef>
          </c:tx>
          <c:spPr>
            <a:solidFill>
              <a:srgbClr val="3D5473"/>
            </a:solidFill>
            <a:ln>
              <a:noFill/>
            </a:ln>
            <a:effectLst/>
          </c:spPr>
          <c:invertIfNegative val="0"/>
          <c:cat>
            <c:strRef>
              <c:f>'Investment Pref by Age Group'!$A$4:$A$7</c:f>
              <c:strCache>
                <c:ptCount val="3"/>
                <c:pt idx="0">
                  <c:v>Early Adulthood</c:v>
                </c:pt>
                <c:pt idx="1">
                  <c:v>Established Adulthood</c:v>
                </c:pt>
                <c:pt idx="2">
                  <c:v>Experienced Adulthood</c:v>
                </c:pt>
              </c:strCache>
            </c:strRef>
          </c:cat>
          <c:val>
            <c:numRef>
              <c:f>'Investment Pref by Age Group'!$B$4:$B$7</c:f>
              <c:numCache>
                <c:formatCode>General</c:formatCode>
                <c:ptCount val="3"/>
                <c:pt idx="0">
                  <c:v>10</c:v>
                </c:pt>
                <c:pt idx="1">
                  <c:v>21</c:v>
                </c:pt>
                <c:pt idx="2">
                  <c:v>9</c:v>
                </c:pt>
              </c:numCache>
            </c:numRef>
          </c:val>
          <c:extLst>
            <c:ext xmlns:c16="http://schemas.microsoft.com/office/drawing/2014/chart" uri="{C3380CC4-5D6E-409C-BE32-E72D297353CC}">
              <c16:uniqueId val="{00000000-D7F9-46D1-BD28-7F973169775B}"/>
            </c:ext>
          </c:extLst>
        </c:ser>
        <c:dLbls>
          <c:showLegendKey val="0"/>
          <c:showVal val="0"/>
          <c:showCatName val="0"/>
          <c:showSerName val="0"/>
          <c:showPercent val="0"/>
          <c:showBubbleSize val="0"/>
        </c:dLbls>
        <c:gapWidth val="219"/>
        <c:overlap val="-27"/>
        <c:axId val="1681314816"/>
        <c:axId val="1681312416"/>
      </c:barChart>
      <c:catAx>
        <c:axId val="1681314816"/>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1681312416"/>
        <c:crosses val="autoZero"/>
        <c:auto val="1"/>
        <c:lblAlgn val="ctr"/>
        <c:lblOffset val="100"/>
        <c:noMultiLvlLbl val="0"/>
      </c:catAx>
      <c:valAx>
        <c:axId val="168131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168131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Data.xlsx]Factor by Age Group!PivotTable3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3D5473"/>
                </a:solidFill>
                <a:latin typeface="Candara" panose="020E0502030303020204" pitchFamily="34" charset="0"/>
              </a:rPr>
              <a:t>Investment Factor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'Factor by Age Group'!$B$3:$B$4</c:f>
              <c:strCache>
                <c:ptCount val="1"/>
                <c:pt idx="0">
                  <c:v>Locking Period</c:v>
                </c:pt>
              </c:strCache>
            </c:strRef>
          </c:tx>
          <c:spPr>
            <a:solidFill>
              <a:srgbClr val="EBEBF2"/>
            </a:solidFill>
            <a:ln>
              <a:noFill/>
            </a:ln>
            <a:effectLst/>
          </c:spPr>
          <c:invertIfNegative val="0"/>
          <c:cat>
            <c:strRef>
              <c:f>'Factor by Age Group'!$A$5:$A$8</c:f>
              <c:strCache>
                <c:ptCount val="3"/>
                <c:pt idx="0">
                  <c:v>Early Adulthood</c:v>
                </c:pt>
                <c:pt idx="1">
                  <c:v>Established Adulthood</c:v>
                </c:pt>
                <c:pt idx="2">
                  <c:v>Experienced Adulthood</c:v>
                </c:pt>
              </c:strCache>
            </c:strRef>
          </c:cat>
          <c:val>
            <c:numRef>
              <c:f>'Factor by Age Group'!$B$5:$B$8</c:f>
              <c:numCache>
                <c:formatCode>General</c:formatCode>
                <c:ptCount val="3"/>
                <c:pt idx="0">
                  <c:v>1</c:v>
                </c:pt>
              </c:numCache>
            </c:numRef>
          </c:val>
          <c:extLst>
            <c:ext xmlns:c16="http://schemas.microsoft.com/office/drawing/2014/chart" uri="{C3380CC4-5D6E-409C-BE32-E72D297353CC}">
              <c16:uniqueId val="{00000000-22CA-4B98-A131-6EA9405251EB}"/>
            </c:ext>
          </c:extLst>
        </c:ser>
        <c:ser>
          <c:idx val="1"/>
          <c:order val="1"/>
          <c:tx>
            <c:strRef>
              <c:f>'Factor by Age Group'!$C$3:$C$4</c:f>
              <c:strCache>
                <c:ptCount val="1"/>
                <c:pt idx="0">
                  <c:v>Returns</c:v>
                </c:pt>
              </c:strCache>
            </c:strRef>
          </c:tx>
          <c:spPr>
            <a:solidFill>
              <a:srgbClr val="3D5473"/>
            </a:solidFill>
            <a:ln>
              <a:noFill/>
            </a:ln>
            <a:effectLst/>
          </c:spPr>
          <c:invertIfNegative val="0"/>
          <c:cat>
            <c:strRef>
              <c:f>'Factor by Age Group'!$A$5:$A$8</c:f>
              <c:strCache>
                <c:ptCount val="3"/>
                <c:pt idx="0">
                  <c:v>Early Adulthood</c:v>
                </c:pt>
                <c:pt idx="1">
                  <c:v>Established Adulthood</c:v>
                </c:pt>
                <c:pt idx="2">
                  <c:v>Experienced Adulthood</c:v>
                </c:pt>
              </c:strCache>
            </c:strRef>
          </c:cat>
          <c:val>
            <c:numRef>
              <c:f>'Factor by Age Group'!$C$5:$C$8</c:f>
              <c:numCache>
                <c:formatCode>General</c:formatCode>
                <c:ptCount val="3"/>
                <c:pt idx="0">
                  <c:v>4</c:v>
                </c:pt>
                <c:pt idx="1">
                  <c:v>16</c:v>
                </c:pt>
                <c:pt idx="2">
                  <c:v>5</c:v>
                </c:pt>
              </c:numCache>
            </c:numRef>
          </c:val>
          <c:extLst>
            <c:ext xmlns:c16="http://schemas.microsoft.com/office/drawing/2014/chart" uri="{C3380CC4-5D6E-409C-BE32-E72D297353CC}">
              <c16:uniqueId val="{00000001-22CA-4B98-A131-6EA9405251EB}"/>
            </c:ext>
          </c:extLst>
        </c:ser>
        <c:ser>
          <c:idx val="2"/>
          <c:order val="2"/>
          <c:tx>
            <c:strRef>
              <c:f>'Factor by Age Group'!$D$3:$D$4</c:f>
              <c:strCache>
                <c:ptCount val="1"/>
                <c:pt idx="0">
                  <c:v>Risk</c:v>
                </c:pt>
              </c:strCache>
            </c:strRef>
          </c:tx>
          <c:spPr>
            <a:solidFill>
              <a:srgbClr val="DCE2F2"/>
            </a:solidFill>
            <a:ln>
              <a:noFill/>
            </a:ln>
            <a:effectLst/>
          </c:spPr>
          <c:invertIfNegative val="0"/>
          <c:cat>
            <c:strRef>
              <c:f>'Factor by Age Group'!$A$5:$A$8</c:f>
              <c:strCache>
                <c:ptCount val="3"/>
                <c:pt idx="0">
                  <c:v>Early Adulthood</c:v>
                </c:pt>
                <c:pt idx="1">
                  <c:v>Established Adulthood</c:v>
                </c:pt>
                <c:pt idx="2">
                  <c:v>Experienced Adulthood</c:v>
                </c:pt>
              </c:strCache>
            </c:strRef>
          </c:cat>
          <c:val>
            <c:numRef>
              <c:f>'Factor by Age Group'!$D$5:$D$8</c:f>
              <c:numCache>
                <c:formatCode>General</c:formatCode>
                <c:ptCount val="3"/>
                <c:pt idx="0">
                  <c:v>5</c:v>
                </c:pt>
                <c:pt idx="1">
                  <c:v>5</c:v>
                </c:pt>
                <c:pt idx="2">
                  <c:v>4</c:v>
                </c:pt>
              </c:numCache>
            </c:numRef>
          </c:val>
          <c:extLst>
            <c:ext xmlns:c16="http://schemas.microsoft.com/office/drawing/2014/chart" uri="{C3380CC4-5D6E-409C-BE32-E72D297353CC}">
              <c16:uniqueId val="{00000002-22CA-4B98-A131-6EA9405251EB}"/>
            </c:ext>
          </c:extLst>
        </c:ser>
        <c:dLbls>
          <c:showLegendKey val="0"/>
          <c:showVal val="0"/>
          <c:showCatName val="0"/>
          <c:showSerName val="0"/>
          <c:showPercent val="0"/>
          <c:showBubbleSize val="0"/>
        </c:dLbls>
        <c:gapWidth val="219"/>
        <c:overlap val="-27"/>
        <c:axId val="42793968"/>
        <c:axId val="42792048"/>
      </c:barChart>
      <c:catAx>
        <c:axId val="42793968"/>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42792048"/>
        <c:crosses val="autoZero"/>
        <c:auto val="1"/>
        <c:lblAlgn val="ctr"/>
        <c:lblOffset val="100"/>
        <c:noMultiLvlLbl val="0"/>
      </c:catAx>
      <c:valAx>
        <c:axId val="4279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4279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Data.xlsx]Savings_Obj by Duration!PivotTable4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3D5473"/>
                </a:solidFill>
                <a:latin typeface="Candara" panose="020E0502030303020204" pitchFamily="34" charset="0"/>
              </a:rPr>
              <a:t>Savings Objectives</a:t>
            </a:r>
            <a:r>
              <a:rPr lang="en-US" sz="1050" b="1" baseline="0">
                <a:solidFill>
                  <a:srgbClr val="3D5473"/>
                </a:solidFill>
                <a:latin typeface="Candara" panose="020E0502030303020204" pitchFamily="34" charset="0"/>
              </a:rPr>
              <a:t> by Investment Duration</a:t>
            </a:r>
            <a:endParaRPr lang="en-US" sz="105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BEBF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DCE2F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3D54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EBEBF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rgbClr val="DCE2F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rgbClr val="3D54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'Savings_Obj by Duration'!$B$3:$B$4</c:f>
              <c:strCache>
                <c:ptCount val="1"/>
                <c:pt idx="0">
                  <c:v>Education</c:v>
                </c:pt>
              </c:strCache>
            </c:strRef>
          </c:tx>
          <c:spPr>
            <a:solidFill>
              <a:srgbClr val="EBEBF2"/>
            </a:solidFill>
            <a:ln>
              <a:noFill/>
            </a:ln>
            <a:effectLst/>
          </c:spPr>
          <c:invertIfNegative val="0"/>
          <c:cat>
            <c:strRef>
              <c:f>'Savings_Obj by Duration'!$A$5:$A$9</c:f>
              <c:strCache>
                <c:ptCount val="4"/>
                <c:pt idx="0">
                  <c:v>1-3 years</c:v>
                </c:pt>
                <c:pt idx="1">
                  <c:v>3-5 years</c:v>
                </c:pt>
                <c:pt idx="2">
                  <c:v>Less than 1 year</c:v>
                </c:pt>
                <c:pt idx="3">
                  <c:v>More than 5 years</c:v>
                </c:pt>
              </c:strCache>
            </c:strRef>
          </c:cat>
          <c:val>
            <c:numRef>
              <c:f>'Savings_Obj by Duration'!$B$5:$B$9</c:f>
              <c:numCache>
                <c:formatCode>General</c:formatCode>
                <c:ptCount val="4"/>
                <c:pt idx="0">
                  <c:v>3</c:v>
                </c:pt>
              </c:numCache>
            </c:numRef>
          </c:val>
          <c:extLst>
            <c:ext xmlns:c16="http://schemas.microsoft.com/office/drawing/2014/chart" uri="{C3380CC4-5D6E-409C-BE32-E72D297353CC}">
              <c16:uniqueId val="{00000000-F9D3-4136-967E-F228871C6753}"/>
            </c:ext>
          </c:extLst>
        </c:ser>
        <c:ser>
          <c:idx val="1"/>
          <c:order val="1"/>
          <c:tx>
            <c:strRef>
              <c:f>'Savings_Obj by Duration'!$C$3:$C$4</c:f>
              <c:strCache>
                <c:ptCount val="1"/>
                <c:pt idx="0">
                  <c:v>Health Care</c:v>
                </c:pt>
              </c:strCache>
            </c:strRef>
          </c:tx>
          <c:spPr>
            <a:solidFill>
              <a:srgbClr val="DCE2F2"/>
            </a:solidFill>
            <a:ln>
              <a:noFill/>
            </a:ln>
            <a:effectLst/>
          </c:spPr>
          <c:invertIfNegative val="0"/>
          <c:cat>
            <c:strRef>
              <c:f>'Savings_Obj by Duration'!$A$5:$A$9</c:f>
              <c:strCache>
                <c:ptCount val="4"/>
                <c:pt idx="0">
                  <c:v>1-3 years</c:v>
                </c:pt>
                <c:pt idx="1">
                  <c:v>3-5 years</c:v>
                </c:pt>
                <c:pt idx="2">
                  <c:v>Less than 1 year</c:v>
                </c:pt>
                <c:pt idx="3">
                  <c:v>More than 5 years</c:v>
                </c:pt>
              </c:strCache>
            </c:strRef>
          </c:cat>
          <c:val>
            <c:numRef>
              <c:f>'Savings_Obj by Duration'!$C$5:$C$9</c:f>
              <c:numCache>
                <c:formatCode>General</c:formatCode>
                <c:ptCount val="4"/>
                <c:pt idx="0">
                  <c:v>6</c:v>
                </c:pt>
                <c:pt idx="1">
                  <c:v>6</c:v>
                </c:pt>
                <c:pt idx="3">
                  <c:v>1</c:v>
                </c:pt>
              </c:numCache>
            </c:numRef>
          </c:val>
          <c:extLst>
            <c:ext xmlns:c16="http://schemas.microsoft.com/office/drawing/2014/chart" uri="{C3380CC4-5D6E-409C-BE32-E72D297353CC}">
              <c16:uniqueId val="{00000001-F9D3-4136-967E-F228871C6753}"/>
            </c:ext>
          </c:extLst>
        </c:ser>
        <c:ser>
          <c:idx val="2"/>
          <c:order val="2"/>
          <c:tx>
            <c:strRef>
              <c:f>'Savings_Obj by Duration'!$D$3:$D$4</c:f>
              <c:strCache>
                <c:ptCount val="1"/>
                <c:pt idx="0">
                  <c:v>Retirement Plan</c:v>
                </c:pt>
              </c:strCache>
            </c:strRef>
          </c:tx>
          <c:spPr>
            <a:solidFill>
              <a:srgbClr val="3D5473"/>
            </a:solidFill>
            <a:ln>
              <a:noFill/>
            </a:ln>
            <a:effectLst/>
          </c:spPr>
          <c:invertIfNegative val="0"/>
          <c:cat>
            <c:strRef>
              <c:f>'Savings_Obj by Duration'!$A$5:$A$9</c:f>
              <c:strCache>
                <c:ptCount val="4"/>
                <c:pt idx="0">
                  <c:v>1-3 years</c:v>
                </c:pt>
                <c:pt idx="1">
                  <c:v>3-5 years</c:v>
                </c:pt>
                <c:pt idx="2">
                  <c:v>Less than 1 year</c:v>
                </c:pt>
                <c:pt idx="3">
                  <c:v>More than 5 years</c:v>
                </c:pt>
              </c:strCache>
            </c:strRef>
          </c:cat>
          <c:val>
            <c:numRef>
              <c:f>'Savings_Obj by Duration'!$D$5:$D$9</c:f>
              <c:numCache>
                <c:formatCode>General</c:formatCode>
                <c:ptCount val="4"/>
                <c:pt idx="0">
                  <c:v>9</c:v>
                </c:pt>
                <c:pt idx="1">
                  <c:v>13</c:v>
                </c:pt>
                <c:pt idx="2">
                  <c:v>2</c:v>
                </c:pt>
              </c:numCache>
            </c:numRef>
          </c:val>
          <c:extLst>
            <c:ext xmlns:c16="http://schemas.microsoft.com/office/drawing/2014/chart" uri="{C3380CC4-5D6E-409C-BE32-E72D297353CC}">
              <c16:uniqueId val="{00000002-F9D3-4136-967E-F228871C6753}"/>
            </c:ext>
          </c:extLst>
        </c:ser>
        <c:dLbls>
          <c:showLegendKey val="0"/>
          <c:showVal val="0"/>
          <c:showCatName val="0"/>
          <c:showSerName val="0"/>
          <c:showPercent val="0"/>
          <c:showBubbleSize val="0"/>
        </c:dLbls>
        <c:gapWidth val="150"/>
        <c:overlap val="100"/>
        <c:axId val="38481696"/>
        <c:axId val="38479296"/>
      </c:barChart>
      <c:catAx>
        <c:axId val="38481696"/>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38479296"/>
        <c:crosses val="autoZero"/>
        <c:auto val="1"/>
        <c:lblAlgn val="ctr"/>
        <c:lblOffset val="100"/>
        <c:noMultiLvlLbl val="0"/>
      </c:catAx>
      <c:valAx>
        <c:axId val="384792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3848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Data.xlsx]Mutual Funds Reasons by Expect!PivotTable5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solidFill>
                  <a:srgbClr val="3D5473"/>
                </a:solidFill>
                <a:latin typeface="Candara" panose="020E0502030303020204" pitchFamily="34" charset="0"/>
              </a:rPr>
              <a:t>Mutual Funds Reasons by Expected Return</a:t>
            </a:r>
            <a:endParaRPr lang="en-US" sz="105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'Mutual Funds Reasons by Expect'!$B$3:$B$4</c:f>
              <c:strCache>
                <c:ptCount val="1"/>
                <c:pt idx="0">
                  <c:v>Better Returns</c:v>
                </c:pt>
              </c:strCache>
            </c:strRef>
          </c:tx>
          <c:spPr>
            <a:solidFill>
              <a:srgbClr val="3D5473"/>
            </a:solidFill>
            <a:ln>
              <a:noFill/>
            </a:ln>
            <a:effectLst/>
          </c:spPr>
          <c:invertIfNegative val="0"/>
          <c:cat>
            <c:strRef>
              <c:f>'Mutual Funds Reasons by Expect'!$A$5:$A$8</c:f>
              <c:strCache>
                <c:ptCount val="3"/>
                <c:pt idx="0">
                  <c:v>10%-20%</c:v>
                </c:pt>
                <c:pt idx="1">
                  <c:v>20%-30%</c:v>
                </c:pt>
                <c:pt idx="2">
                  <c:v>30%-40%</c:v>
                </c:pt>
              </c:strCache>
            </c:strRef>
          </c:cat>
          <c:val>
            <c:numRef>
              <c:f>'Mutual Funds Reasons by Expect'!$B$5:$B$8</c:f>
              <c:numCache>
                <c:formatCode>General</c:formatCode>
                <c:ptCount val="3"/>
                <c:pt idx="1">
                  <c:v>11</c:v>
                </c:pt>
              </c:numCache>
            </c:numRef>
          </c:val>
          <c:extLst>
            <c:ext xmlns:c16="http://schemas.microsoft.com/office/drawing/2014/chart" uri="{C3380CC4-5D6E-409C-BE32-E72D297353CC}">
              <c16:uniqueId val="{00000000-C454-4C1C-B1ED-4C939D68DC03}"/>
            </c:ext>
          </c:extLst>
        </c:ser>
        <c:ser>
          <c:idx val="1"/>
          <c:order val="1"/>
          <c:tx>
            <c:strRef>
              <c:f>'Mutual Funds Reasons by Expect'!$C$3:$C$4</c:f>
              <c:strCache>
                <c:ptCount val="1"/>
                <c:pt idx="0">
                  <c:v>Fund Diversification</c:v>
                </c:pt>
              </c:strCache>
            </c:strRef>
          </c:tx>
          <c:spPr>
            <a:solidFill>
              <a:srgbClr val="DCE2F2"/>
            </a:solidFill>
            <a:ln>
              <a:noFill/>
            </a:ln>
            <a:effectLst/>
          </c:spPr>
          <c:invertIfNegative val="0"/>
          <c:cat>
            <c:strRef>
              <c:f>'Mutual Funds Reasons by Expect'!$A$5:$A$8</c:f>
              <c:strCache>
                <c:ptCount val="3"/>
                <c:pt idx="0">
                  <c:v>10%-20%</c:v>
                </c:pt>
                <c:pt idx="1">
                  <c:v>20%-30%</c:v>
                </c:pt>
                <c:pt idx="2">
                  <c:v>30%-40%</c:v>
                </c:pt>
              </c:strCache>
            </c:strRef>
          </c:cat>
          <c:val>
            <c:numRef>
              <c:f>'Mutual Funds Reasons by Expect'!$C$5:$C$8</c:f>
              <c:numCache>
                <c:formatCode>General</c:formatCode>
                <c:ptCount val="3"/>
                <c:pt idx="1">
                  <c:v>4</c:v>
                </c:pt>
                <c:pt idx="2">
                  <c:v>1</c:v>
                </c:pt>
              </c:numCache>
            </c:numRef>
          </c:val>
          <c:extLst>
            <c:ext xmlns:c16="http://schemas.microsoft.com/office/drawing/2014/chart" uri="{C3380CC4-5D6E-409C-BE32-E72D297353CC}">
              <c16:uniqueId val="{00000001-C454-4C1C-B1ED-4C939D68DC03}"/>
            </c:ext>
          </c:extLst>
        </c:ser>
        <c:ser>
          <c:idx val="2"/>
          <c:order val="2"/>
          <c:tx>
            <c:strRef>
              <c:f>'Mutual Funds Reasons by Expect'!$D$3:$D$4</c:f>
              <c:strCache>
                <c:ptCount val="1"/>
                <c:pt idx="0">
                  <c:v>Tax Benefits</c:v>
                </c:pt>
              </c:strCache>
            </c:strRef>
          </c:tx>
          <c:spPr>
            <a:solidFill>
              <a:srgbClr val="EBEBF2"/>
            </a:solidFill>
            <a:ln>
              <a:noFill/>
            </a:ln>
            <a:effectLst/>
          </c:spPr>
          <c:invertIfNegative val="0"/>
          <c:cat>
            <c:strRef>
              <c:f>'Mutual Funds Reasons by Expect'!$A$5:$A$8</c:f>
              <c:strCache>
                <c:ptCount val="3"/>
                <c:pt idx="0">
                  <c:v>10%-20%</c:v>
                </c:pt>
                <c:pt idx="1">
                  <c:v>20%-30%</c:v>
                </c:pt>
                <c:pt idx="2">
                  <c:v>30%-40%</c:v>
                </c:pt>
              </c:strCache>
            </c:strRef>
          </c:cat>
          <c:val>
            <c:numRef>
              <c:f>'Mutual Funds Reasons by Expect'!$D$5:$D$8</c:f>
              <c:numCache>
                <c:formatCode>General</c:formatCode>
                <c:ptCount val="3"/>
                <c:pt idx="0">
                  <c:v>2</c:v>
                </c:pt>
              </c:numCache>
            </c:numRef>
          </c:val>
          <c:extLst>
            <c:ext xmlns:c16="http://schemas.microsoft.com/office/drawing/2014/chart" uri="{C3380CC4-5D6E-409C-BE32-E72D297353CC}">
              <c16:uniqueId val="{00000002-C454-4C1C-B1ED-4C939D68DC03}"/>
            </c:ext>
          </c:extLst>
        </c:ser>
        <c:dLbls>
          <c:showLegendKey val="0"/>
          <c:showVal val="0"/>
          <c:showCatName val="0"/>
          <c:showSerName val="0"/>
          <c:showPercent val="0"/>
          <c:showBubbleSize val="0"/>
        </c:dLbls>
        <c:gapWidth val="150"/>
        <c:overlap val="100"/>
        <c:axId val="2038378208"/>
        <c:axId val="2038379648"/>
      </c:barChart>
      <c:catAx>
        <c:axId val="2038378208"/>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38379648"/>
        <c:crosses val="autoZero"/>
        <c:auto val="1"/>
        <c:lblAlgn val="ctr"/>
        <c:lblOffset val="100"/>
        <c:noMultiLvlLbl val="0"/>
      </c:catAx>
      <c:valAx>
        <c:axId val="20383796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3837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Investment Preference Data.xlsx]Savings_Obj by Return!PivotTable6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solidFill>
                  <a:srgbClr val="3D5473"/>
                </a:solidFill>
                <a:latin typeface="Candara" panose="020E0502030303020204" pitchFamily="34" charset="0"/>
              </a:rPr>
              <a:t>Savings Objectives by Expected Return Range</a:t>
            </a:r>
            <a:endParaRPr lang="en-US" sz="1050" b="1">
              <a:solidFill>
                <a:srgbClr val="3D5473"/>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BEB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CE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D54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'Savings_Obj by Return'!$B$3:$B$4</c:f>
              <c:strCache>
                <c:ptCount val="1"/>
                <c:pt idx="0">
                  <c:v>Education</c:v>
                </c:pt>
              </c:strCache>
            </c:strRef>
          </c:tx>
          <c:spPr>
            <a:solidFill>
              <a:srgbClr val="EBEBF2"/>
            </a:solidFill>
            <a:ln>
              <a:noFill/>
            </a:ln>
            <a:effectLst/>
          </c:spPr>
          <c:invertIfNegative val="0"/>
          <c:cat>
            <c:strRef>
              <c:f>'Savings_Obj by Return'!$A$5:$A$8</c:f>
              <c:strCache>
                <c:ptCount val="3"/>
                <c:pt idx="0">
                  <c:v>10%-20%</c:v>
                </c:pt>
                <c:pt idx="1">
                  <c:v>20%-30%</c:v>
                </c:pt>
                <c:pt idx="2">
                  <c:v>30%-40%</c:v>
                </c:pt>
              </c:strCache>
            </c:strRef>
          </c:cat>
          <c:val>
            <c:numRef>
              <c:f>'Savings_Obj by Return'!$B$5:$B$8</c:f>
              <c:numCache>
                <c:formatCode>General</c:formatCode>
                <c:ptCount val="3"/>
                <c:pt idx="0">
                  <c:v>1</c:v>
                </c:pt>
                <c:pt idx="1">
                  <c:v>2</c:v>
                </c:pt>
              </c:numCache>
            </c:numRef>
          </c:val>
          <c:extLst>
            <c:ext xmlns:c16="http://schemas.microsoft.com/office/drawing/2014/chart" uri="{C3380CC4-5D6E-409C-BE32-E72D297353CC}">
              <c16:uniqueId val="{00000000-85AE-4DF8-B0EF-ACEDE9F9B360}"/>
            </c:ext>
          </c:extLst>
        </c:ser>
        <c:ser>
          <c:idx val="1"/>
          <c:order val="1"/>
          <c:tx>
            <c:strRef>
              <c:f>'Savings_Obj by Return'!$C$3:$C$4</c:f>
              <c:strCache>
                <c:ptCount val="1"/>
                <c:pt idx="0">
                  <c:v>Health Care</c:v>
                </c:pt>
              </c:strCache>
            </c:strRef>
          </c:tx>
          <c:spPr>
            <a:solidFill>
              <a:srgbClr val="DCE2F2"/>
            </a:solidFill>
            <a:ln>
              <a:noFill/>
            </a:ln>
            <a:effectLst/>
          </c:spPr>
          <c:invertIfNegative val="0"/>
          <c:cat>
            <c:strRef>
              <c:f>'Savings_Obj by Return'!$A$5:$A$8</c:f>
              <c:strCache>
                <c:ptCount val="3"/>
                <c:pt idx="0">
                  <c:v>10%-20%</c:v>
                </c:pt>
                <c:pt idx="1">
                  <c:v>20%-30%</c:v>
                </c:pt>
                <c:pt idx="2">
                  <c:v>30%-40%</c:v>
                </c:pt>
              </c:strCache>
            </c:strRef>
          </c:cat>
          <c:val>
            <c:numRef>
              <c:f>'Savings_Obj by Return'!$C$5:$C$8</c:f>
              <c:numCache>
                <c:formatCode>General</c:formatCode>
                <c:ptCount val="3"/>
                <c:pt idx="1">
                  <c:v>11</c:v>
                </c:pt>
                <c:pt idx="2">
                  <c:v>2</c:v>
                </c:pt>
              </c:numCache>
            </c:numRef>
          </c:val>
          <c:extLst>
            <c:ext xmlns:c16="http://schemas.microsoft.com/office/drawing/2014/chart" uri="{C3380CC4-5D6E-409C-BE32-E72D297353CC}">
              <c16:uniqueId val="{00000001-85AE-4DF8-B0EF-ACEDE9F9B360}"/>
            </c:ext>
          </c:extLst>
        </c:ser>
        <c:ser>
          <c:idx val="2"/>
          <c:order val="2"/>
          <c:tx>
            <c:strRef>
              <c:f>'Savings_Obj by Return'!$D$3:$D$4</c:f>
              <c:strCache>
                <c:ptCount val="1"/>
                <c:pt idx="0">
                  <c:v>Retirement Plan</c:v>
                </c:pt>
              </c:strCache>
            </c:strRef>
          </c:tx>
          <c:spPr>
            <a:solidFill>
              <a:srgbClr val="3D5473"/>
            </a:solidFill>
            <a:ln>
              <a:noFill/>
            </a:ln>
            <a:effectLst/>
          </c:spPr>
          <c:invertIfNegative val="0"/>
          <c:cat>
            <c:strRef>
              <c:f>'Savings_Obj by Return'!$A$5:$A$8</c:f>
              <c:strCache>
                <c:ptCount val="3"/>
                <c:pt idx="0">
                  <c:v>10%-20%</c:v>
                </c:pt>
                <c:pt idx="1">
                  <c:v>20%-30%</c:v>
                </c:pt>
                <c:pt idx="2">
                  <c:v>30%-40%</c:v>
                </c:pt>
              </c:strCache>
            </c:strRef>
          </c:cat>
          <c:val>
            <c:numRef>
              <c:f>'Savings_Obj by Return'!$D$5:$D$8</c:f>
              <c:numCache>
                <c:formatCode>General</c:formatCode>
                <c:ptCount val="3"/>
                <c:pt idx="0">
                  <c:v>2</c:v>
                </c:pt>
                <c:pt idx="1">
                  <c:v>19</c:v>
                </c:pt>
                <c:pt idx="2">
                  <c:v>3</c:v>
                </c:pt>
              </c:numCache>
            </c:numRef>
          </c:val>
          <c:extLst>
            <c:ext xmlns:c16="http://schemas.microsoft.com/office/drawing/2014/chart" uri="{C3380CC4-5D6E-409C-BE32-E72D297353CC}">
              <c16:uniqueId val="{00000002-85AE-4DF8-B0EF-ACEDE9F9B360}"/>
            </c:ext>
          </c:extLst>
        </c:ser>
        <c:dLbls>
          <c:showLegendKey val="0"/>
          <c:showVal val="0"/>
          <c:showCatName val="0"/>
          <c:showSerName val="0"/>
          <c:showPercent val="0"/>
          <c:showBubbleSize val="0"/>
        </c:dLbls>
        <c:gapWidth val="219"/>
        <c:overlap val="-27"/>
        <c:axId val="42291216"/>
        <c:axId val="2070762064"/>
      </c:barChart>
      <c:catAx>
        <c:axId val="42291216"/>
        <c:scaling>
          <c:orientation val="minMax"/>
        </c:scaling>
        <c:delete val="0"/>
        <c:axPos val="b"/>
        <c:numFmt formatCode="General" sourceLinked="1"/>
        <c:majorTickMark val="none"/>
        <c:minorTickMark val="none"/>
        <c:tickLblPos val="nextTo"/>
        <c:spPr>
          <a:noFill/>
          <a:ln w="9525" cap="flat" cmpd="sng" algn="ctr">
            <a:solidFill>
              <a:srgbClr val="3D5473"/>
            </a:solidFill>
            <a:round/>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2070762064"/>
        <c:crosses val="autoZero"/>
        <c:auto val="1"/>
        <c:lblAlgn val="ctr"/>
        <c:lblOffset val="100"/>
        <c:noMultiLvlLbl val="0"/>
      </c:catAx>
      <c:valAx>
        <c:axId val="207076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crossAx val="4229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D54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400049</xdr:colOff>
      <xdr:row>2</xdr:row>
      <xdr:rowOff>14287</xdr:rowOff>
    </xdr:from>
    <xdr:to>
      <xdr:col>10</xdr:col>
      <xdr:colOff>219074</xdr:colOff>
      <xdr:row>14</xdr:row>
      <xdr:rowOff>85725</xdr:rowOff>
    </xdr:to>
    <xdr:graphicFrame macro="">
      <xdr:nvGraphicFramePr>
        <xdr:cNvPr id="2" name="Chart 1">
          <a:extLst>
            <a:ext uri="{FF2B5EF4-FFF2-40B4-BE49-F238E27FC236}">
              <a16:creationId xmlns:a16="http://schemas.microsoft.com/office/drawing/2014/main" id="{0C41D8C4-A10E-9D55-A517-2D1EDBB14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590549</xdr:colOff>
      <xdr:row>2</xdr:row>
      <xdr:rowOff>4762</xdr:rowOff>
    </xdr:from>
    <xdr:to>
      <xdr:col>9</xdr:col>
      <xdr:colOff>447674</xdr:colOff>
      <xdr:row>15</xdr:row>
      <xdr:rowOff>0</xdr:rowOff>
    </xdr:to>
    <xdr:graphicFrame macro="">
      <xdr:nvGraphicFramePr>
        <xdr:cNvPr id="2" name="Chart 1">
          <a:extLst>
            <a:ext uri="{FF2B5EF4-FFF2-40B4-BE49-F238E27FC236}">
              <a16:creationId xmlns:a16="http://schemas.microsoft.com/office/drawing/2014/main" id="{7070410A-6745-3D7C-39DE-8B16D9E2F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581025</xdr:colOff>
      <xdr:row>2</xdr:row>
      <xdr:rowOff>14287</xdr:rowOff>
    </xdr:from>
    <xdr:to>
      <xdr:col>11</xdr:col>
      <xdr:colOff>428625</xdr:colOff>
      <xdr:row>14</xdr:row>
      <xdr:rowOff>161925</xdr:rowOff>
    </xdr:to>
    <xdr:graphicFrame macro="">
      <xdr:nvGraphicFramePr>
        <xdr:cNvPr id="2" name="Chart 1">
          <a:extLst>
            <a:ext uri="{FF2B5EF4-FFF2-40B4-BE49-F238E27FC236}">
              <a16:creationId xmlns:a16="http://schemas.microsoft.com/office/drawing/2014/main" id="{0FBD9106-394C-E6D8-7792-416425E53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190500</xdr:colOff>
      <xdr:row>2</xdr:row>
      <xdr:rowOff>4762</xdr:rowOff>
    </xdr:from>
    <xdr:to>
      <xdr:col>11</xdr:col>
      <xdr:colOff>533400</xdr:colOff>
      <xdr:row>14</xdr:row>
      <xdr:rowOff>95250</xdr:rowOff>
    </xdr:to>
    <xdr:graphicFrame macro="">
      <xdr:nvGraphicFramePr>
        <xdr:cNvPr id="2" name="Chart 1">
          <a:extLst>
            <a:ext uri="{FF2B5EF4-FFF2-40B4-BE49-F238E27FC236}">
              <a16:creationId xmlns:a16="http://schemas.microsoft.com/office/drawing/2014/main" id="{54D80031-012E-1656-6C25-EE272A847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361949</xdr:colOff>
      <xdr:row>2</xdr:row>
      <xdr:rowOff>4762</xdr:rowOff>
    </xdr:from>
    <xdr:to>
      <xdr:col>11</xdr:col>
      <xdr:colOff>447674</xdr:colOff>
      <xdr:row>15</xdr:row>
      <xdr:rowOff>0</xdr:rowOff>
    </xdr:to>
    <xdr:graphicFrame macro="">
      <xdr:nvGraphicFramePr>
        <xdr:cNvPr id="2" name="Chart 1">
          <a:extLst>
            <a:ext uri="{FF2B5EF4-FFF2-40B4-BE49-F238E27FC236}">
              <a16:creationId xmlns:a16="http://schemas.microsoft.com/office/drawing/2014/main" id="{80F37F12-43E4-0879-2EA9-D335CC423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266699</xdr:colOff>
      <xdr:row>2</xdr:row>
      <xdr:rowOff>14287</xdr:rowOff>
    </xdr:from>
    <xdr:to>
      <xdr:col>11</xdr:col>
      <xdr:colOff>561974</xdr:colOff>
      <xdr:row>15</xdr:row>
      <xdr:rowOff>57150</xdr:rowOff>
    </xdr:to>
    <xdr:graphicFrame macro="">
      <xdr:nvGraphicFramePr>
        <xdr:cNvPr id="2" name="Chart 1">
          <a:extLst>
            <a:ext uri="{FF2B5EF4-FFF2-40B4-BE49-F238E27FC236}">
              <a16:creationId xmlns:a16="http://schemas.microsoft.com/office/drawing/2014/main" id="{FF0D64C8-DCA1-8199-B35B-94A8D783D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0</xdr:row>
      <xdr:rowOff>57150</xdr:rowOff>
    </xdr:from>
    <xdr:to>
      <xdr:col>6</xdr:col>
      <xdr:colOff>419100</xdr:colOff>
      <xdr:row>3</xdr:row>
      <xdr:rowOff>57150</xdr:rowOff>
    </xdr:to>
    <xdr:sp macro="" textlink="">
      <xdr:nvSpPr>
        <xdr:cNvPr id="2" name="Rectangle 1">
          <a:extLst>
            <a:ext uri="{FF2B5EF4-FFF2-40B4-BE49-F238E27FC236}">
              <a16:creationId xmlns:a16="http://schemas.microsoft.com/office/drawing/2014/main" id="{233F43AC-E94D-67FC-7069-7BE30050B4E7}"/>
            </a:ext>
          </a:extLst>
        </xdr:cNvPr>
        <xdr:cNvSpPr/>
      </xdr:nvSpPr>
      <xdr:spPr>
        <a:xfrm>
          <a:off x="57150" y="57150"/>
          <a:ext cx="4019550" cy="571500"/>
        </a:xfrm>
        <a:prstGeom prst="rect">
          <a:avLst/>
        </a:prstGeom>
        <a:no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3D5473"/>
              </a:solidFill>
              <a:latin typeface="Candara" panose="020E0502030303020204" pitchFamily="34" charset="0"/>
            </a:rPr>
            <a:t>INVESTMENT</a:t>
          </a:r>
          <a:r>
            <a:rPr lang="en-US" sz="1800" b="1" baseline="0">
              <a:solidFill>
                <a:srgbClr val="3D5473"/>
              </a:solidFill>
              <a:latin typeface="Candara" panose="020E0502030303020204" pitchFamily="34" charset="0"/>
            </a:rPr>
            <a:t> PREFERENCE ANALYSIS</a:t>
          </a:r>
          <a:endParaRPr lang="en-US" sz="1800" b="1">
            <a:solidFill>
              <a:srgbClr val="3D5473"/>
            </a:solidFill>
            <a:latin typeface="Candara" panose="020E0502030303020204" pitchFamily="34" charset="0"/>
          </a:endParaRPr>
        </a:p>
      </xdr:txBody>
    </xdr:sp>
    <xdr:clientData/>
  </xdr:twoCellAnchor>
  <xdr:twoCellAnchor>
    <xdr:from>
      <xdr:col>6</xdr:col>
      <xdr:colOff>152400</xdr:colOff>
      <xdr:row>2</xdr:row>
      <xdr:rowOff>85725</xdr:rowOff>
    </xdr:from>
    <xdr:to>
      <xdr:col>8</xdr:col>
      <xdr:colOff>581026</xdr:colOff>
      <xdr:row>6</xdr:row>
      <xdr:rowOff>142875</xdr:rowOff>
    </xdr:to>
    <xdr:sp macro="" textlink="">
      <xdr:nvSpPr>
        <xdr:cNvPr id="4" name="Rectangle: Rounded Corners 3">
          <a:extLst>
            <a:ext uri="{FF2B5EF4-FFF2-40B4-BE49-F238E27FC236}">
              <a16:creationId xmlns:a16="http://schemas.microsoft.com/office/drawing/2014/main" id="{BC88B364-67E6-62F3-56F6-E5284062CBFB}"/>
            </a:ext>
          </a:extLst>
        </xdr:cNvPr>
        <xdr:cNvSpPr/>
      </xdr:nvSpPr>
      <xdr:spPr>
        <a:xfrm>
          <a:off x="3810000" y="466725"/>
          <a:ext cx="1647826" cy="819150"/>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rgbClr val="3D5473"/>
              </a:solidFill>
              <a:latin typeface="Candara" panose="020E0502030303020204" pitchFamily="34" charset="0"/>
            </a:rPr>
            <a:t>24</a:t>
          </a:r>
          <a:endParaRPr lang="en-US" sz="2000" b="1">
            <a:solidFill>
              <a:srgbClr val="3D5473"/>
            </a:solidFill>
            <a:latin typeface="Candara" panose="020E0502030303020204" pitchFamily="34" charset="0"/>
          </a:endParaRPr>
        </a:p>
        <a:p>
          <a:pPr algn="ctr"/>
          <a:r>
            <a:rPr lang="en-US" sz="900" b="1" baseline="0">
              <a:solidFill>
                <a:schemeClr val="tx1">
                  <a:lumMod val="50000"/>
                  <a:lumOff val="50000"/>
                </a:schemeClr>
              </a:solidFill>
              <a:latin typeface="Candara" panose="020E0502030303020204" pitchFamily="34" charset="0"/>
            </a:rPr>
            <a:t>Retirement Planners</a:t>
          </a:r>
          <a:endParaRPr lang="en-US" sz="900" b="1">
            <a:solidFill>
              <a:schemeClr val="tx1">
                <a:lumMod val="50000"/>
                <a:lumOff val="50000"/>
              </a:schemeClr>
            </a:solidFill>
            <a:latin typeface="Candara" panose="020E0502030303020204" pitchFamily="34" charset="0"/>
          </a:endParaRPr>
        </a:p>
      </xdr:txBody>
    </xdr:sp>
    <xdr:clientData/>
  </xdr:twoCellAnchor>
  <xdr:twoCellAnchor>
    <xdr:from>
      <xdr:col>3</xdr:col>
      <xdr:colOff>114300</xdr:colOff>
      <xdr:row>2</xdr:row>
      <xdr:rowOff>85725</xdr:rowOff>
    </xdr:from>
    <xdr:to>
      <xdr:col>5</xdr:col>
      <xdr:colOff>542926</xdr:colOff>
      <xdr:row>6</xdr:row>
      <xdr:rowOff>142875</xdr:rowOff>
    </xdr:to>
    <xdr:sp macro="" textlink="">
      <xdr:nvSpPr>
        <xdr:cNvPr id="5" name="Rectangle: Rounded Corners 4">
          <a:extLst>
            <a:ext uri="{FF2B5EF4-FFF2-40B4-BE49-F238E27FC236}">
              <a16:creationId xmlns:a16="http://schemas.microsoft.com/office/drawing/2014/main" id="{3DA3482F-91B6-9C6A-E9A0-04CAB472AEC4}"/>
            </a:ext>
          </a:extLst>
        </xdr:cNvPr>
        <xdr:cNvSpPr/>
      </xdr:nvSpPr>
      <xdr:spPr>
        <a:xfrm>
          <a:off x="1943100" y="466725"/>
          <a:ext cx="1647826" cy="819150"/>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rgbClr val="3D5473"/>
              </a:solidFill>
              <a:latin typeface="Candara" panose="020E0502030303020204" pitchFamily="34" charset="0"/>
            </a:rPr>
            <a:t>10</a:t>
          </a:r>
          <a:endParaRPr lang="en-US" sz="2000" b="1">
            <a:solidFill>
              <a:srgbClr val="3D5473"/>
            </a:solidFill>
            <a:latin typeface="Candara" panose="020E0502030303020204" pitchFamily="34" charset="0"/>
          </a:endParaRPr>
        </a:p>
        <a:p>
          <a:pPr algn="ctr"/>
          <a:r>
            <a:rPr lang="en-US" sz="900" b="1" baseline="0">
              <a:solidFill>
                <a:schemeClr val="tx1">
                  <a:lumMod val="50000"/>
                  <a:lumOff val="50000"/>
                </a:schemeClr>
              </a:solidFill>
              <a:latin typeface="Candara" panose="020E0502030303020204" pitchFamily="34" charset="0"/>
            </a:rPr>
            <a:t>Early Adulthood Customers </a:t>
          </a:r>
          <a:endParaRPr lang="en-US" sz="900" b="1">
            <a:solidFill>
              <a:schemeClr val="tx1">
                <a:lumMod val="50000"/>
                <a:lumOff val="50000"/>
              </a:schemeClr>
            </a:solidFill>
            <a:latin typeface="Candara" panose="020E0502030303020204" pitchFamily="34" charset="0"/>
          </a:endParaRPr>
        </a:p>
      </xdr:txBody>
    </xdr:sp>
    <xdr:clientData/>
  </xdr:twoCellAnchor>
  <xdr:twoCellAnchor>
    <xdr:from>
      <xdr:col>0</xdr:col>
      <xdr:colOff>104775</xdr:colOff>
      <xdr:row>2</xdr:row>
      <xdr:rowOff>85725</xdr:rowOff>
    </xdr:from>
    <xdr:to>
      <xdr:col>2</xdr:col>
      <xdr:colOff>533401</xdr:colOff>
      <xdr:row>6</xdr:row>
      <xdr:rowOff>142875</xdr:rowOff>
    </xdr:to>
    <xdr:sp macro="" textlink="">
      <xdr:nvSpPr>
        <xdr:cNvPr id="6" name="Rectangle: Rounded Corners 5">
          <a:extLst>
            <a:ext uri="{FF2B5EF4-FFF2-40B4-BE49-F238E27FC236}">
              <a16:creationId xmlns:a16="http://schemas.microsoft.com/office/drawing/2014/main" id="{47F79ECF-0C62-87C9-1B5E-9AEABA35BDF0}"/>
            </a:ext>
          </a:extLst>
        </xdr:cNvPr>
        <xdr:cNvSpPr/>
      </xdr:nvSpPr>
      <xdr:spPr>
        <a:xfrm>
          <a:off x="104775" y="466725"/>
          <a:ext cx="1647826" cy="819150"/>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3D5473"/>
              </a:solidFill>
              <a:latin typeface="Candara" panose="020E0502030303020204" pitchFamily="34" charset="0"/>
            </a:rPr>
            <a:t>40</a:t>
          </a:r>
        </a:p>
        <a:p>
          <a:pPr algn="ctr"/>
          <a:r>
            <a:rPr lang="en-US" sz="900" b="1">
              <a:solidFill>
                <a:schemeClr val="tx1">
                  <a:lumMod val="50000"/>
                  <a:lumOff val="50000"/>
                </a:schemeClr>
              </a:solidFill>
              <a:latin typeface="Candara" panose="020E0502030303020204" pitchFamily="34" charset="0"/>
            </a:rPr>
            <a:t>Total</a:t>
          </a:r>
          <a:r>
            <a:rPr lang="en-US" sz="900" b="1" baseline="0">
              <a:solidFill>
                <a:schemeClr val="tx1">
                  <a:lumMod val="50000"/>
                  <a:lumOff val="50000"/>
                </a:schemeClr>
              </a:solidFill>
              <a:latin typeface="Candara" panose="020E0502030303020204" pitchFamily="34" charset="0"/>
            </a:rPr>
            <a:t> Customers</a:t>
          </a:r>
          <a:endParaRPr lang="en-US" sz="900" b="1">
            <a:solidFill>
              <a:schemeClr val="tx1">
                <a:lumMod val="50000"/>
                <a:lumOff val="50000"/>
              </a:schemeClr>
            </a:solidFill>
            <a:latin typeface="Candara" panose="020E0502030303020204" pitchFamily="34" charset="0"/>
          </a:endParaRPr>
        </a:p>
      </xdr:txBody>
    </xdr:sp>
    <xdr:clientData/>
  </xdr:twoCellAnchor>
  <xdr:twoCellAnchor>
    <xdr:from>
      <xdr:col>9</xdr:col>
      <xdr:colOff>180975</xdr:colOff>
      <xdr:row>2</xdr:row>
      <xdr:rowOff>76200</xdr:rowOff>
    </xdr:from>
    <xdr:to>
      <xdr:col>12</xdr:col>
      <xdr:colOff>1</xdr:colOff>
      <xdr:row>6</xdr:row>
      <xdr:rowOff>133350</xdr:rowOff>
    </xdr:to>
    <xdr:sp macro="" textlink="">
      <xdr:nvSpPr>
        <xdr:cNvPr id="7" name="Rectangle: Rounded Corners 6">
          <a:extLst>
            <a:ext uri="{FF2B5EF4-FFF2-40B4-BE49-F238E27FC236}">
              <a16:creationId xmlns:a16="http://schemas.microsoft.com/office/drawing/2014/main" id="{775F4011-D4AA-C070-0DAD-FCF273ECB6BC}"/>
            </a:ext>
          </a:extLst>
        </xdr:cNvPr>
        <xdr:cNvSpPr/>
      </xdr:nvSpPr>
      <xdr:spPr>
        <a:xfrm>
          <a:off x="5667375" y="457200"/>
          <a:ext cx="1647826" cy="819150"/>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rgbClr val="3D5473"/>
              </a:solidFill>
              <a:latin typeface="Candara" panose="020E0502030303020204" pitchFamily="34" charset="0"/>
            </a:rPr>
            <a:t>32</a:t>
          </a:r>
          <a:endParaRPr lang="en-US" sz="2000" b="1">
            <a:solidFill>
              <a:srgbClr val="3D5473"/>
            </a:solidFill>
            <a:latin typeface="Candara" panose="020E0502030303020204" pitchFamily="34" charset="0"/>
          </a:endParaRPr>
        </a:p>
        <a:p>
          <a:pPr algn="ctr"/>
          <a:r>
            <a:rPr lang="en-US" sz="900" b="1" baseline="0">
              <a:solidFill>
                <a:schemeClr val="tx1">
                  <a:lumMod val="50000"/>
                  <a:lumOff val="50000"/>
                </a:schemeClr>
              </a:solidFill>
              <a:latin typeface="Candara" panose="020E0502030303020204" pitchFamily="34" charset="0"/>
            </a:rPr>
            <a:t>20%-30% Return Expectation </a:t>
          </a:r>
          <a:endParaRPr lang="en-US" sz="900" b="1">
            <a:solidFill>
              <a:schemeClr val="tx1">
                <a:lumMod val="50000"/>
                <a:lumOff val="50000"/>
              </a:schemeClr>
            </a:solidFill>
            <a:latin typeface="Candara" panose="020E0502030303020204" pitchFamily="34" charset="0"/>
          </a:endParaRPr>
        </a:p>
      </xdr:txBody>
    </xdr:sp>
    <xdr:clientData/>
  </xdr:twoCellAnchor>
  <xdr:twoCellAnchor>
    <xdr:from>
      <xdr:col>12</xdr:col>
      <xdr:colOff>219075</xdr:colOff>
      <xdr:row>2</xdr:row>
      <xdr:rowOff>76200</xdr:rowOff>
    </xdr:from>
    <xdr:to>
      <xdr:col>15</xdr:col>
      <xdr:colOff>38101</xdr:colOff>
      <xdr:row>6</xdr:row>
      <xdr:rowOff>133350</xdr:rowOff>
    </xdr:to>
    <xdr:sp macro="" textlink="">
      <xdr:nvSpPr>
        <xdr:cNvPr id="8" name="Rectangle: Rounded Corners 7">
          <a:extLst>
            <a:ext uri="{FF2B5EF4-FFF2-40B4-BE49-F238E27FC236}">
              <a16:creationId xmlns:a16="http://schemas.microsoft.com/office/drawing/2014/main" id="{96A76DF8-11FE-85AF-EAFE-B0F30B40C978}"/>
            </a:ext>
          </a:extLst>
        </xdr:cNvPr>
        <xdr:cNvSpPr/>
      </xdr:nvSpPr>
      <xdr:spPr>
        <a:xfrm>
          <a:off x="7534275" y="457200"/>
          <a:ext cx="1647826" cy="819150"/>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rgbClr val="3D5473"/>
              </a:solidFill>
              <a:latin typeface="Candara" panose="020E0502030303020204" pitchFamily="34" charset="0"/>
            </a:rPr>
            <a:t>6</a:t>
          </a:r>
          <a:endParaRPr lang="en-US" sz="2000" b="1">
            <a:solidFill>
              <a:srgbClr val="3D5473"/>
            </a:solidFill>
            <a:latin typeface="Candara" panose="020E0502030303020204" pitchFamily="34" charset="0"/>
          </a:endParaRPr>
        </a:p>
        <a:p>
          <a:pPr algn="ctr"/>
          <a:r>
            <a:rPr lang="en-US" sz="900" b="1" baseline="0">
              <a:solidFill>
                <a:schemeClr val="tx1">
                  <a:lumMod val="50000"/>
                  <a:lumOff val="50000"/>
                </a:schemeClr>
              </a:solidFill>
              <a:latin typeface="Candara" panose="020E0502030303020204" pitchFamily="34" charset="0"/>
            </a:rPr>
            <a:t>Education </a:t>
          </a:r>
          <a:endParaRPr lang="en-US" sz="900" b="1">
            <a:solidFill>
              <a:schemeClr val="tx1">
                <a:lumMod val="50000"/>
                <a:lumOff val="50000"/>
              </a:schemeClr>
            </a:solidFill>
            <a:latin typeface="Candara" panose="020E0502030303020204" pitchFamily="34" charset="0"/>
          </a:endParaRPr>
        </a:p>
      </xdr:txBody>
    </xdr:sp>
    <xdr:clientData/>
  </xdr:twoCellAnchor>
  <xdr:twoCellAnchor>
    <xdr:from>
      <xdr:col>0</xdr:col>
      <xdr:colOff>76200</xdr:colOff>
      <xdr:row>7</xdr:row>
      <xdr:rowOff>95250</xdr:rowOff>
    </xdr:from>
    <xdr:to>
      <xdr:col>4</xdr:col>
      <xdr:colOff>323850</xdr:colOff>
      <xdr:row>17</xdr:row>
      <xdr:rowOff>9525</xdr:rowOff>
    </xdr:to>
    <xdr:sp macro="" textlink="">
      <xdr:nvSpPr>
        <xdr:cNvPr id="9" name="Rectangle 8">
          <a:extLst>
            <a:ext uri="{FF2B5EF4-FFF2-40B4-BE49-F238E27FC236}">
              <a16:creationId xmlns:a16="http://schemas.microsoft.com/office/drawing/2014/main" id="{75AF1244-E078-8C95-70DA-90A4FB5168D7}"/>
            </a:ext>
          </a:extLst>
        </xdr:cNvPr>
        <xdr:cNvSpPr/>
      </xdr:nvSpPr>
      <xdr:spPr>
        <a:xfrm>
          <a:off x="76200" y="1428750"/>
          <a:ext cx="2686050" cy="1819275"/>
        </a:xfrm>
        <a:prstGeom prst="rect">
          <a:avLst/>
        </a:prstGeom>
        <a:noFill/>
        <a:ln>
          <a:solidFill>
            <a:srgbClr val="3D54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7</xdr:row>
      <xdr:rowOff>95250</xdr:rowOff>
    </xdr:from>
    <xdr:to>
      <xdr:col>9</xdr:col>
      <xdr:colOff>19050</xdr:colOff>
      <xdr:row>17</xdr:row>
      <xdr:rowOff>9525</xdr:rowOff>
    </xdr:to>
    <xdr:sp macro="" textlink="">
      <xdr:nvSpPr>
        <xdr:cNvPr id="11" name="Rectangle 10">
          <a:extLst>
            <a:ext uri="{FF2B5EF4-FFF2-40B4-BE49-F238E27FC236}">
              <a16:creationId xmlns:a16="http://schemas.microsoft.com/office/drawing/2014/main" id="{71F01F06-C1F6-1724-1C62-FE334AC373CC}"/>
            </a:ext>
          </a:extLst>
        </xdr:cNvPr>
        <xdr:cNvSpPr/>
      </xdr:nvSpPr>
      <xdr:spPr>
        <a:xfrm>
          <a:off x="2819400" y="1428750"/>
          <a:ext cx="2686050" cy="1819275"/>
        </a:xfrm>
        <a:prstGeom prst="rect">
          <a:avLst/>
        </a:prstGeom>
        <a:noFill/>
        <a:ln>
          <a:solidFill>
            <a:srgbClr val="3D54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76200</xdr:colOff>
      <xdr:row>7</xdr:row>
      <xdr:rowOff>95250</xdr:rowOff>
    </xdr:from>
    <xdr:to>
      <xdr:col>13</xdr:col>
      <xdr:colOff>323850</xdr:colOff>
      <xdr:row>17</xdr:row>
      <xdr:rowOff>9525</xdr:rowOff>
    </xdr:to>
    <xdr:sp macro="" textlink="">
      <xdr:nvSpPr>
        <xdr:cNvPr id="12" name="Rectangle 11">
          <a:extLst>
            <a:ext uri="{FF2B5EF4-FFF2-40B4-BE49-F238E27FC236}">
              <a16:creationId xmlns:a16="http://schemas.microsoft.com/office/drawing/2014/main" id="{28D87C69-6961-88D3-4906-E183EA8BFFA2}"/>
            </a:ext>
          </a:extLst>
        </xdr:cNvPr>
        <xdr:cNvSpPr/>
      </xdr:nvSpPr>
      <xdr:spPr>
        <a:xfrm>
          <a:off x="5562600" y="1428750"/>
          <a:ext cx="2686050" cy="1819275"/>
        </a:xfrm>
        <a:prstGeom prst="rect">
          <a:avLst/>
        </a:prstGeom>
        <a:noFill/>
        <a:ln>
          <a:solidFill>
            <a:srgbClr val="3D54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17</xdr:row>
      <xdr:rowOff>66675</xdr:rowOff>
    </xdr:from>
    <xdr:to>
      <xdr:col>4</xdr:col>
      <xdr:colOff>323850</xdr:colOff>
      <xdr:row>26</xdr:row>
      <xdr:rowOff>171450</xdr:rowOff>
    </xdr:to>
    <xdr:sp macro="" textlink="">
      <xdr:nvSpPr>
        <xdr:cNvPr id="14" name="Rectangle 13">
          <a:extLst>
            <a:ext uri="{FF2B5EF4-FFF2-40B4-BE49-F238E27FC236}">
              <a16:creationId xmlns:a16="http://schemas.microsoft.com/office/drawing/2014/main" id="{A56013BE-729E-F850-1058-2A48C9AF9E79}"/>
            </a:ext>
          </a:extLst>
        </xdr:cNvPr>
        <xdr:cNvSpPr/>
      </xdr:nvSpPr>
      <xdr:spPr>
        <a:xfrm>
          <a:off x="76200" y="3305175"/>
          <a:ext cx="2686050" cy="1819275"/>
        </a:xfrm>
        <a:prstGeom prst="rect">
          <a:avLst/>
        </a:prstGeom>
        <a:noFill/>
        <a:ln>
          <a:solidFill>
            <a:srgbClr val="3D54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27</xdr:row>
      <xdr:rowOff>66675</xdr:rowOff>
    </xdr:from>
    <xdr:to>
      <xdr:col>0</xdr:col>
      <xdr:colOff>0</xdr:colOff>
      <xdr:row>36</xdr:row>
      <xdr:rowOff>171450</xdr:rowOff>
    </xdr:to>
    <xdr:sp macro="" textlink="">
      <xdr:nvSpPr>
        <xdr:cNvPr id="15" name="Rectangle 14">
          <a:extLst>
            <a:ext uri="{FF2B5EF4-FFF2-40B4-BE49-F238E27FC236}">
              <a16:creationId xmlns:a16="http://schemas.microsoft.com/office/drawing/2014/main" id="{41662774-B378-D5BC-9834-3FB72570B5D8}"/>
            </a:ext>
          </a:extLst>
        </xdr:cNvPr>
        <xdr:cNvSpPr/>
      </xdr:nvSpPr>
      <xdr:spPr>
        <a:xfrm>
          <a:off x="0" y="5210175"/>
          <a:ext cx="0" cy="1819275"/>
        </a:xfrm>
        <a:prstGeom prst="rect">
          <a:avLst/>
        </a:prstGeom>
        <a:noFill/>
        <a:ln>
          <a:solidFill>
            <a:srgbClr val="3D54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17</xdr:row>
      <xdr:rowOff>57150</xdr:rowOff>
    </xdr:from>
    <xdr:to>
      <xdr:col>9</xdr:col>
      <xdr:colOff>19050</xdr:colOff>
      <xdr:row>26</xdr:row>
      <xdr:rowOff>161925</xdr:rowOff>
    </xdr:to>
    <xdr:sp macro="" textlink="">
      <xdr:nvSpPr>
        <xdr:cNvPr id="16" name="Rectangle 15">
          <a:extLst>
            <a:ext uri="{FF2B5EF4-FFF2-40B4-BE49-F238E27FC236}">
              <a16:creationId xmlns:a16="http://schemas.microsoft.com/office/drawing/2014/main" id="{99AE1D10-DA2F-C1BE-F2E6-E1E05D3F184F}"/>
            </a:ext>
          </a:extLst>
        </xdr:cNvPr>
        <xdr:cNvSpPr/>
      </xdr:nvSpPr>
      <xdr:spPr>
        <a:xfrm>
          <a:off x="2819400" y="3295650"/>
          <a:ext cx="2686050" cy="1819275"/>
        </a:xfrm>
        <a:prstGeom prst="rect">
          <a:avLst/>
        </a:prstGeom>
        <a:noFill/>
        <a:ln>
          <a:solidFill>
            <a:srgbClr val="3D54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76200</xdr:colOff>
      <xdr:row>17</xdr:row>
      <xdr:rowOff>57150</xdr:rowOff>
    </xdr:from>
    <xdr:to>
      <xdr:col>13</xdr:col>
      <xdr:colOff>323850</xdr:colOff>
      <xdr:row>26</xdr:row>
      <xdr:rowOff>161925</xdr:rowOff>
    </xdr:to>
    <xdr:sp macro="" textlink="">
      <xdr:nvSpPr>
        <xdr:cNvPr id="17" name="Rectangle 16">
          <a:extLst>
            <a:ext uri="{FF2B5EF4-FFF2-40B4-BE49-F238E27FC236}">
              <a16:creationId xmlns:a16="http://schemas.microsoft.com/office/drawing/2014/main" id="{CCC63017-0E49-0782-BE37-CB6832216866}"/>
            </a:ext>
          </a:extLst>
        </xdr:cNvPr>
        <xdr:cNvSpPr/>
      </xdr:nvSpPr>
      <xdr:spPr>
        <a:xfrm>
          <a:off x="5562600" y="3295650"/>
          <a:ext cx="2686050" cy="1819275"/>
        </a:xfrm>
        <a:prstGeom prst="rect">
          <a:avLst/>
        </a:prstGeom>
        <a:noFill/>
        <a:ln>
          <a:solidFill>
            <a:srgbClr val="3D54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76199</xdr:colOff>
      <xdr:row>7</xdr:row>
      <xdr:rowOff>95250</xdr:rowOff>
    </xdr:from>
    <xdr:to>
      <xdr:col>4</xdr:col>
      <xdr:colOff>314324</xdr:colOff>
      <xdr:row>16</xdr:row>
      <xdr:rowOff>190499</xdr:rowOff>
    </xdr:to>
    <xdr:graphicFrame macro="">
      <xdr:nvGraphicFramePr>
        <xdr:cNvPr id="18" name="Chart 17">
          <a:extLst>
            <a:ext uri="{FF2B5EF4-FFF2-40B4-BE49-F238E27FC236}">
              <a16:creationId xmlns:a16="http://schemas.microsoft.com/office/drawing/2014/main" id="{428540B9-333D-48A6-AF6E-0801EDBAE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390525</xdr:colOff>
      <xdr:row>7</xdr:row>
      <xdr:rowOff>95250</xdr:rowOff>
    </xdr:from>
    <xdr:to>
      <xdr:col>9</xdr:col>
      <xdr:colOff>19050</xdr:colOff>
      <xdr:row>16</xdr:row>
      <xdr:rowOff>190499</xdr:rowOff>
    </xdr:to>
    <xdr:graphicFrame macro="">
      <xdr:nvGraphicFramePr>
        <xdr:cNvPr id="19" name="Chart 18">
          <a:extLst>
            <a:ext uri="{FF2B5EF4-FFF2-40B4-BE49-F238E27FC236}">
              <a16:creationId xmlns:a16="http://schemas.microsoft.com/office/drawing/2014/main" id="{434D5B96-6A04-4216-9925-72C4A38F0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85725</xdr:colOff>
      <xdr:row>7</xdr:row>
      <xdr:rowOff>104774</xdr:rowOff>
    </xdr:from>
    <xdr:to>
      <xdr:col>13</xdr:col>
      <xdr:colOff>314325</xdr:colOff>
      <xdr:row>16</xdr:row>
      <xdr:rowOff>190499</xdr:rowOff>
    </xdr:to>
    <xdr:graphicFrame macro="">
      <xdr:nvGraphicFramePr>
        <xdr:cNvPr id="20" name="Chart 19">
          <a:extLst>
            <a:ext uri="{FF2B5EF4-FFF2-40B4-BE49-F238E27FC236}">
              <a16:creationId xmlns:a16="http://schemas.microsoft.com/office/drawing/2014/main" id="{BB3E5630-EF45-4537-9235-146845A82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76201</xdr:colOff>
      <xdr:row>17</xdr:row>
      <xdr:rowOff>76200</xdr:rowOff>
    </xdr:from>
    <xdr:to>
      <xdr:col>4</xdr:col>
      <xdr:colOff>323851</xdr:colOff>
      <xdr:row>26</xdr:row>
      <xdr:rowOff>161925</xdr:rowOff>
    </xdr:to>
    <xdr:graphicFrame macro="">
      <xdr:nvGraphicFramePr>
        <xdr:cNvPr id="21" name="Chart 20">
          <a:extLst>
            <a:ext uri="{FF2B5EF4-FFF2-40B4-BE49-F238E27FC236}">
              <a16:creationId xmlns:a16="http://schemas.microsoft.com/office/drawing/2014/main" id="{BD9C7DA0-C730-47B1-95A7-4AEC347CB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390525</xdr:colOff>
      <xdr:row>17</xdr:row>
      <xdr:rowOff>57150</xdr:rowOff>
    </xdr:from>
    <xdr:to>
      <xdr:col>9</xdr:col>
      <xdr:colOff>9525</xdr:colOff>
      <xdr:row>26</xdr:row>
      <xdr:rowOff>161925</xdr:rowOff>
    </xdr:to>
    <xdr:graphicFrame macro="">
      <xdr:nvGraphicFramePr>
        <xdr:cNvPr id="22" name="Chart 21">
          <a:extLst>
            <a:ext uri="{FF2B5EF4-FFF2-40B4-BE49-F238E27FC236}">
              <a16:creationId xmlns:a16="http://schemas.microsoft.com/office/drawing/2014/main" id="{1C3F97F9-CDF9-4EE4-A395-46031EA6E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76200</xdr:colOff>
      <xdr:row>17</xdr:row>
      <xdr:rowOff>66674</xdr:rowOff>
    </xdr:from>
    <xdr:to>
      <xdr:col>13</xdr:col>
      <xdr:colOff>314325</xdr:colOff>
      <xdr:row>26</xdr:row>
      <xdr:rowOff>152399</xdr:rowOff>
    </xdr:to>
    <xdr:graphicFrame macro="">
      <xdr:nvGraphicFramePr>
        <xdr:cNvPr id="23" name="Chart 22">
          <a:extLst>
            <a:ext uri="{FF2B5EF4-FFF2-40B4-BE49-F238E27FC236}">
              <a16:creationId xmlns:a16="http://schemas.microsoft.com/office/drawing/2014/main" id="{3A933487-D258-44B4-BD38-FEC309D2F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390525</xdr:colOff>
      <xdr:row>7</xdr:row>
      <xdr:rowOff>95250</xdr:rowOff>
    </xdr:from>
    <xdr:to>
      <xdr:col>15</xdr:col>
      <xdr:colOff>85725</xdr:colOff>
      <xdr:row>12</xdr:row>
      <xdr:rowOff>142875</xdr:rowOff>
    </xdr:to>
    <mc:AlternateContent xmlns:mc="http://schemas.openxmlformats.org/markup-compatibility/2006">
      <mc:Choice xmlns:a14="http://schemas.microsoft.com/office/drawing/2010/main" Requires="a14">
        <xdr:graphicFrame macro="">
          <xdr:nvGraphicFramePr>
            <xdr:cNvPr id="24" name="Gender">
              <a:extLst>
                <a:ext uri="{FF2B5EF4-FFF2-40B4-BE49-F238E27FC236}">
                  <a16:creationId xmlns:a16="http://schemas.microsoft.com/office/drawing/2014/main" id="{DE64275F-47A1-9B25-0721-FF1A3BB2D0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315325" y="1428750"/>
              <a:ext cx="91440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390525</xdr:colOff>
      <xdr:row>13</xdr:row>
      <xdr:rowOff>9526</xdr:rowOff>
    </xdr:from>
    <xdr:to>
      <xdr:col>15</xdr:col>
      <xdr:colOff>190500</xdr:colOff>
      <xdr:row>19</xdr:row>
      <xdr:rowOff>123826</xdr:rowOff>
    </xdr:to>
    <mc:AlternateContent xmlns:mc="http://schemas.openxmlformats.org/markup-compatibility/2006">
      <mc:Choice xmlns:a14="http://schemas.microsoft.com/office/drawing/2010/main" Requires="a14">
        <xdr:graphicFrame macro="">
          <xdr:nvGraphicFramePr>
            <xdr:cNvPr id="25" name="Age_Group">
              <a:extLst>
                <a:ext uri="{FF2B5EF4-FFF2-40B4-BE49-F238E27FC236}">
                  <a16:creationId xmlns:a16="http://schemas.microsoft.com/office/drawing/2014/main" id="{E819E346-2D83-E4BD-65C3-BC64C76B3769}"/>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8315325" y="2486026"/>
              <a:ext cx="101917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381000</xdr:colOff>
      <xdr:row>19</xdr:row>
      <xdr:rowOff>161925</xdr:rowOff>
    </xdr:from>
    <xdr:to>
      <xdr:col>15</xdr:col>
      <xdr:colOff>200025</xdr:colOff>
      <xdr:row>26</xdr:row>
      <xdr:rowOff>161925</xdr:rowOff>
    </xdr:to>
    <mc:AlternateContent xmlns:mc="http://schemas.openxmlformats.org/markup-compatibility/2006">
      <mc:Choice xmlns:a14="http://schemas.microsoft.com/office/drawing/2010/main" Requires="a14">
        <xdr:graphicFrame macro="">
          <xdr:nvGraphicFramePr>
            <xdr:cNvPr id="26" name="Expect">
              <a:extLst>
                <a:ext uri="{FF2B5EF4-FFF2-40B4-BE49-F238E27FC236}">
                  <a16:creationId xmlns:a16="http://schemas.microsoft.com/office/drawing/2014/main" id="{E2BF655F-BB6B-A107-DB41-8F3C4576C513}"/>
                </a:ext>
              </a:extLst>
            </xdr:cNvPr>
            <xdr:cNvGraphicFramePr/>
          </xdr:nvGraphicFramePr>
          <xdr:xfrm>
            <a:off x="0" y="0"/>
            <a:ext cx="0" cy="0"/>
          </xdr:xfrm>
          <a:graphic>
            <a:graphicData uri="http://schemas.microsoft.com/office/drawing/2010/slicer">
              <sle:slicer xmlns:sle="http://schemas.microsoft.com/office/drawing/2010/slicer" name="Expect"/>
            </a:graphicData>
          </a:graphic>
        </xdr:graphicFrame>
      </mc:Choice>
      <mc:Fallback>
        <xdr:sp macro="" textlink="">
          <xdr:nvSpPr>
            <xdr:cNvPr id="0" name=""/>
            <xdr:cNvSpPr>
              <a:spLocks noTextEdit="1"/>
            </xdr:cNvSpPr>
          </xdr:nvSpPr>
          <xdr:spPr>
            <a:xfrm>
              <a:off x="8305800" y="3781425"/>
              <a:ext cx="1038225"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PC" refreshedDate="45981.99739074074" createdVersion="8" refreshedVersion="8" minRefreshableVersion="3" recordCount="40" xr:uid="{D968A63D-A6FF-494A-A1B4-9EFCB4CD177D}">
  <cacheSource type="worksheet">
    <worksheetSource name="Customers_Table"/>
  </cacheSource>
  <cacheFields count="25">
    <cacheField name="Gender" numFmtId="0">
      <sharedItems count="2">
        <s v="Female"/>
        <s v="Male"/>
      </sharedItems>
    </cacheField>
    <cacheField name="Age" numFmtId="0">
      <sharedItems containsSemiMixedTypes="0" containsString="0" containsNumber="1" containsInteger="1" minValue="21" maxValue="35"/>
    </cacheField>
    <cacheField name="Age_Group" numFmtId="0">
      <sharedItems count="3">
        <s v="Experienced Adulthood"/>
        <s v="Early Adulthood"/>
        <s v="Established Adulthood"/>
      </sharedItems>
    </cacheField>
    <cacheField name="Investment_Avenues" numFmtId="0">
      <sharedItems/>
    </cacheField>
    <cacheField name="Mutual_Funds" numFmtId="1">
      <sharedItems containsSemiMixedTypes="0" containsString="0" containsNumber="1" containsInteger="1" minValue="1" maxValue="7"/>
    </cacheField>
    <cacheField name="Equity_Market" numFmtId="1">
      <sharedItems containsSemiMixedTypes="0" containsString="0" containsNumber="1" containsInteger="1" minValue="1" maxValue="6"/>
    </cacheField>
    <cacheField name="Debentures" numFmtId="1">
      <sharedItems containsSemiMixedTypes="0" containsString="0" containsNumber="1" containsInteger="1" minValue="1" maxValue="7"/>
    </cacheField>
    <cacheField name="Government_Bonds" numFmtId="1">
      <sharedItems containsSemiMixedTypes="0" containsString="0" containsNumber="1" containsInteger="1" minValue="1" maxValue="7"/>
    </cacheField>
    <cacheField name="Fixed_Deposits" numFmtId="1">
      <sharedItems containsSemiMixedTypes="0" containsString="0" containsNumber="1" containsInteger="1" minValue="1" maxValue="7"/>
    </cacheField>
    <cacheField name="PPF" numFmtId="1">
      <sharedItems containsSemiMixedTypes="0" containsString="0" containsNumber="1" containsInteger="1" minValue="1" maxValue="6"/>
    </cacheField>
    <cacheField name="Gold" numFmtId="1">
      <sharedItems containsSemiMixedTypes="0" containsString="0" containsNumber="1" containsInteger="1" minValue="2" maxValue="7"/>
    </cacheField>
    <cacheField name="Stock_Marktet" numFmtId="0">
      <sharedItems/>
    </cacheField>
    <cacheField name="Factor" numFmtId="0">
      <sharedItems count="3">
        <s v="Returns"/>
        <s v="Locking Period"/>
        <s v="Risk"/>
      </sharedItems>
    </cacheField>
    <cacheField name="Objective" numFmtId="0">
      <sharedItems/>
    </cacheField>
    <cacheField name="Purpose" numFmtId="0">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ount="4">
        <s v="Mutual Fund"/>
        <s v="Equity"/>
        <s v="Fixed Deposits"/>
        <s v="Public Provident Fund"/>
      </sharedItems>
    </cacheField>
    <cacheField name="Savings_Objectives" numFmtId="0">
      <sharedItems count="3">
        <s v="Retirement Plan"/>
        <s v="Health Care"/>
        <s v="Education"/>
      </sharedItems>
    </cacheField>
    <cacheField name="Reason_Equity" numFmtId="0">
      <sharedItems/>
    </cacheField>
    <cacheField name="Reason_Mutual" numFmtId="0">
      <sharedItems count="3">
        <s v="Better Returns"/>
        <s v="Tax Benefits"/>
        <s v="Fund Diversification"/>
      </sharedItems>
    </cacheField>
    <cacheField name="Reason_Bonds" numFmtId="0">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pivotCacheId="102033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s v="Yes"/>
    <n v="1"/>
    <n v="2"/>
    <n v="5"/>
    <n v="3"/>
    <n v="7"/>
    <n v="6"/>
    <n v="4"/>
    <s v="Yes"/>
    <x v="0"/>
    <s v="Capital Appreciation"/>
    <s v="Wealth Creation"/>
    <x v="0"/>
    <s v="Monthly"/>
    <x v="0"/>
    <x v="0"/>
    <x v="0"/>
    <s v="Capital Appreciation"/>
    <x v="0"/>
    <s v="Safe Investment"/>
    <s v="Fixed Returns"/>
    <s v="Newspapers and Magazines"/>
  </r>
  <r>
    <x v="0"/>
    <n v="23"/>
    <x v="1"/>
    <s v="Yes"/>
    <n v="4"/>
    <n v="3"/>
    <n v="2"/>
    <n v="1"/>
    <n v="5"/>
    <n v="6"/>
    <n v="7"/>
    <s v="No"/>
    <x v="1"/>
    <s v="Capital Appreciation"/>
    <s v="Wealth Creation"/>
    <x v="1"/>
    <s v="Weekly"/>
    <x v="0"/>
    <x v="0"/>
    <x v="1"/>
    <s v="Dividend"/>
    <x v="0"/>
    <s v="Safe Investment"/>
    <s v="High Interest Rates"/>
    <s v="Financial Consultants"/>
  </r>
  <r>
    <x v="1"/>
    <n v="30"/>
    <x v="2"/>
    <s v="Yes"/>
    <n v="3"/>
    <n v="6"/>
    <n v="4"/>
    <n v="2"/>
    <n v="5"/>
    <n v="1"/>
    <n v="7"/>
    <s v="Yes"/>
    <x v="0"/>
    <s v="Capital Appreciation"/>
    <s v="Wealth Creation"/>
    <x v="2"/>
    <s v="Daily"/>
    <x v="0"/>
    <x v="1"/>
    <x v="0"/>
    <s v="Capital Appreciation"/>
    <x v="1"/>
    <s v="Assured Returns"/>
    <s v="Fixed Returns"/>
    <s v="Television"/>
  </r>
  <r>
    <x v="1"/>
    <n v="22"/>
    <x v="1"/>
    <s v="Yes"/>
    <n v="2"/>
    <n v="1"/>
    <n v="3"/>
    <n v="7"/>
    <n v="6"/>
    <n v="4"/>
    <n v="5"/>
    <s v="Yes"/>
    <x v="0"/>
    <s v="Income"/>
    <s v="Wealth Creation"/>
    <x v="3"/>
    <s v="Daily"/>
    <x v="1"/>
    <x v="1"/>
    <x v="0"/>
    <s v="Dividend"/>
    <x v="2"/>
    <s v="Tax Incentives"/>
    <s v="High Interest Rates"/>
    <s v="Internet"/>
  </r>
  <r>
    <x v="0"/>
    <n v="24"/>
    <x v="1"/>
    <s v="No"/>
    <n v="2"/>
    <n v="1"/>
    <n v="3"/>
    <n v="6"/>
    <n v="4"/>
    <n v="5"/>
    <n v="7"/>
    <s v="No"/>
    <x v="0"/>
    <s v="Income"/>
    <s v="Wealth Creation"/>
    <x v="3"/>
    <s v="Daily"/>
    <x v="0"/>
    <x v="1"/>
    <x v="0"/>
    <s v="Capital Appreciation"/>
    <x v="0"/>
    <s v="Safe Investment"/>
    <s v="Risk Free"/>
    <s v="Internet"/>
  </r>
  <r>
    <x v="0"/>
    <n v="24"/>
    <x v="1"/>
    <s v="No"/>
    <n v="7"/>
    <n v="5"/>
    <n v="4"/>
    <n v="6"/>
    <n v="3"/>
    <n v="1"/>
    <n v="2"/>
    <s v="No"/>
    <x v="2"/>
    <s v="Capital Appreciation"/>
    <s v="Wealth Creation"/>
    <x v="0"/>
    <s v="Daily"/>
    <x v="2"/>
    <x v="0"/>
    <x v="0"/>
    <s v="Liquidity"/>
    <x v="2"/>
    <s v="Safe Investment"/>
    <s v="Risk Free"/>
    <s v="Internet"/>
  </r>
  <r>
    <x v="0"/>
    <n v="27"/>
    <x v="2"/>
    <s v="Yes"/>
    <n v="3"/>
    <n v="6"/>
    <n v="4"/>
    <n v="2"/>
    <n v="5"/>
    <n v="1"/>
    <n v="7"/>
    <s v="Yes"/>
    <x v="0"/>
    <s v="Capital Appreciation"/>
    <s v="Wealth Creation"/>
    <x v="2"/>
    <s v="Monthly"/>
    <x v="0"/>
    <x v="1"/>
    <x v="0"/>
    <s v="Capital Appreciation"/>
    <x v="0"/>
    <s v="Assured Returns"/>
    <s v="High Interest Rates"/>
    <s v="Financial Consultants"/>
  </r>
  <r>
    <x v="1"/>
    <n v="21"/>
    <x v="1"/>
    <s v="Yes"/>
    <n v="2"/>
    <n v="3"/>
    <n v="7"/>
    <n v="4"/>
    <n v="6"/>
    <n v="1"/>
    <n v="5"/>
    <s v="Yes"/>
    <x v="2"/>
    <s v="Capital Appreciation"/>
    <s v="Wealth Creation"/>
    <x v="2"/>
    <s v="Monthly"/>
    <x v="0"/>
    <x v="0"/>
    <x v="0"/>
    <s v="Capital Appreciation"/>
    <x v="0"/>
    <s v="Assured Returns"/>
    <s v="Risk Free"/>
    <s v="Newspapers and Magazines"/>
  </r>
  <r>
    <x v="1"/>
    <n v="35"/>
    <x v="0"/>
    <s v="Yes"/>
    <n v="2"/>
    <n v="4"/>
    <n v="7"/>
    <n v="5"/>
    <n v="3"/>
    <n v="1"/>
    <n v="6"/>
    <s v="Yes"/>
    <x v="0"/>
    <s v="Growth"/>
    <s v="Savings for Future"/>
    <x v="0"/>
    <s v="Weekly"/>
    <x v="0"/>
    <x v="1"/>
    <x v="0"/>
    <s v="Capital Appreciation"/>
    <x v="2"/>
    <s v="Safe Investment"/>
    <s v="Fixed Returns"/>
    <s v="Television"/>
  </r>
  <r>
    <x v="1"/>
    <n v="31"/>
    <x v="0"/>
    <s v="Yes"/>
    <n v="1"/>
    <n v="3"/>
    <n v="7"/>
    <n v="4"/>
    <n v="5"/>
    <n v="2"/>
    <n v="6"/>
    <s v="Yes"/>
    <x v="0"/>
    <s v="Capital Appreciation"/>
    <s v="Wealth Creation"/>
    <x v="2"/>
    <s v="Monthly"/>
    <x v="2"/>
    <x v="2"/>
    <x v="0"/>
    <s v="Capital Appreciation"/>
    <x v="2"/>
    <s v="Assured Returns"/>
    <s v="Fixed Returns"/>
    <s v="Newspapers and Magazines"/>
  </r>
  <r>
    <x v="0"/>
    <n v="35"/>
    <x v="0"/>
    <s v="Yes"/>
    <n v="2"/>
    <n v="4"/>
    <n v="7"/>
    <n v="5"/>
    <n v="3"/>
    <n v="1"/>
    <n v="6"/>
    <s v="Yes"/>
    <x v="2"/>
    <s v="Growth"/>
    <s v="Savings for Future"/>
    <x v="2"/>
    <s v="Monthly"/>
    <x v="0"/>
    <x v="0"/>
    <x v="0"/>
    <s v="Capital Appreciation"/>
    <x v="0"/>
    <s v="Assured Returns"/>
    <s v="Risk Free"/>
    <s v="Financial Consultants"/>
  </r>
  <r>
    <x v="1"/>
    <n v="29"/>
    <x v="2"/>
    <s v="Yes"/>
    <n v="2"/>
    <n v="5"/>
    <n v="7"/>
    <n v="6"/>
    <n v="3"/>
    <n v="1"/>
    <n v="4"/>
    <s v="Yes"/>
    <x v="2"/>
    <s v="Capital Appreciation"/>
    <s v="Wealth Creation"/>
    <x v="0"/>
    <s v="Monthly"/>
    <x v="0"/>
    <x v="0"/>
    <x v="0"/>
    <s v="Capital Appreciation"/>
    <x v="2"/>
    <s v="Assured Returns"/>
    <s v="Fixed Returns"/>
    <s v="Financial Consultants"/>
  </r>
  <r>
    <x v="0"/>
    <n v="21"/>
    <x v="1"/>
    <s v="No"/>
    <n v="1"/>
    <n v="2"/>
    <n v="3"/>
    <n v="4"/>
    <n v="5"/>
    <n v="6"/>
    <n v="7"/>
    <s v="No"/>
    <x v="0"/>
    <s v="Capital Appreciation"/>
    <s v="Savings for Future"/>
    <x v="0"/>
    <s v="Weekly"/>
    <x v="0"/>
    <x v="0"/>
    <x v="2"/>
    <s v="Dividend"/>
    <x v="0"/>
    <s v="Safe Investment"/>
    <s v="Risk Free"/>
    <s v="Internet"/>
  </r>
  <r>
    <x v="0"/>
    <n v="28"/>
    <x v="2"/>
    <s v="Yes"/>
    <n v="2"/>
    <n v="3"/>
    <n v="7"/>
    <n v="4"/>
    <n v="5"/>
    <n v="1"/>
    <n v="6"/>
    <s v="Yes"/>
    <x v="0"/>
    <s v="Capital Appreciation"/>
    <s v="Wealth Creation"/>
    <x v="0"/>
    <s v="Monthly"/>
    <x v="0"/>
    <x v="0"/>
    <x v="0"/>
    <s v="Capital Appreciation"/>
    <x v="2"/>
    <s v="Assured Returns"/>
    <s v="Risk Free"/>
    <s v="Newspapers and Magazines"/>
  </r>
  <r>
    <x v="0"/>
    <n v="25"/>
    <x v="1"/>
    <s v="Yes"/>
    <n v="2"/>
    <n v="3"/>
    <n v="7"/>
    <n v="5"/>
    <n v="4"/>
    <n v="1"/>
    <n v="6"/>
    <s v="Yes"/>
    <x v="0"/>
    <s v="Capital Appreciation"/>
    <s v="Wealth Creation"/>
    <x v="0"/>
    <s v="Monthly"/>
    <x v="0"/>
    <x v="2"/>
    <x v="1"/>
    <s v="Dividend"/>
    <x v="0"/>
    <s v="Assured Returns"/>
    <s v="Risk Free"/>
    <s v="Financial Consultants"/>
  </r>
  <r>
    <x v="1"/>
    <n v="27"/>
    <x v="2"/>
    <s v="Yes"/>
    <n v="2"/>
    <n v="3"/>
    <n v="7"/>
    <n v="5"/>
    <n v="4"/>
    <n v="1"/>
    <n v="6"/>
    <s v="Yes"/>
    <x v="0"/>
    <s v="Capital Appreciation"/>
    <s v="Wealth Creation"/>
    <x v="0"/>
    <s v="Monthly"/>
    <x v="0"/>
    <x v="0"/>
    <x v="1"/>
    <s v="Capital Appreciation"/>
    <x v="2"/>
    <s v="Assured Returns"/>
    <s v="Risk Free"/>
    <s v="Newspapers and Magazines"/>
  </r>
  <r>
    <x v="0"/>
    <n v="28"/>
    <x v="2"/>
    <s v="Yes"/>
    <n v="3"/>
    <n v="2"/>
    <n v="7"/>
    <n v="5"/>
    <n v="4"/>
    <n v="1"/>
    <n v="6"/>
    <s v="Yes"/>
    <x v="2"/>
    <s v="Growth"/>
    <s v="Wealth Creation"/>
    <x v="0"/>
    <s v="Monthly"/>
    <x v="0"/>
    <x v="2"/>
    <x v="1"/>
    <s v="Capital Appreciation"/>
    <x v="2"/>
    <s v="Assured Returns"/>
    <s v="Risk Free"/>
    <s v="Television"/>
  </r>
  <r>
    <x v="1"/>
    <n v="27"/>
    <x v="2"/>
    <s v="Yes"/>
    <n v="3"/>
    <n v="2"/>
    <n v="7"/>
    <n v="4"/>
    <n v="5"/>
    <n v="1"/>
    <n v="6"/>
    <s v="Yes"/>
    <x v="0"/>
    <s v="Capital Appreciation"/>
    <s v="Wealth Creation"/>
    <x v="0"/>
    <s v="Monthly"/>
    <x v="0"/>
    <x v="0"/>
    <x v="0"/>
    <s v="Capital Appreciation"/>
    <x v="0"/>
    <s v="Assured Returns"/>
    <s v="Risk Free"/>
    <s v="Financial Consultants"/>
  </r>
  <r>
    <x v="1"/>
    <n v="29"/>
    <x v="2"/>
    <s v="Yes"/>
    <n v="3"/>
    <n v="2"/>
    <n v="7"/>
    <n v="4"/>
    <n v="5"/>
    <n v="1"/>
    <n v="6"/>
    <s v="Yes"/>
    <x v="2"/>
    <s v="Capital Appreciation"/>
    <s v="Wealth Creation"/>
    <x v="0"/>
    <s v="Monthly"/>
    <x v="0"/>
    <x v="0"/>
    <x v="0"/>
    <s v="Capital Appreciation"/>
    <x v="0"/>
    <s v="Assured Returns"/>
    <s v="Risk Free"/>
    <s v="Newspapers and Magazines"/>
  </r>
  <r>
    <x v="1"/>
    <n v="26"/>
    <x v="2"/>
    <s v="Yes"/>
    <n v="3"/>
    <n v="4"/>
    <n v="6"/>
    <n v="5"/>
    <n v="1"/>
    <n v="2"/>
    <n v="7"/>
    <s v="Yes"/>
    <x v="2"/>
    <s v="Capital Appreciation"/>
    <s v="Wealth Creation"/>
    <x v="2"/>
    <s v="Monthly"/>
    <x v="0"/>
    <x v="2"/>
    <x v="1"/>
    <s v="Capital Appreciation"/>
    <x v="2"/>
    <s v="Assured Returns"/>
    <s v="Risk Free"/>
    <s v="Newspapers and Magazines"/>
  </r>
  <r>
    <x v="1"/>
    <n v="29"/>
    <x v="2"/>
    <s v="Yes"/>
    <n v="2"/>
    <n v="4"/>
    <n v="7"/>
    <n v="5"/>
    <n v="3"/>
    <n v="1"/>
    <n v="6"/>
    <s v="Yes"/>
    <x v="0"/>
    <s v="Growth"/>
    <s v="Wealth Creation"/>
    <x v="2"/>
    <s v="Weekly"/>
    <x v="0"/>
    <x v="0"/>
    <x v="0"/>
    <s v="Capital Appreciation"/>
    <x v="0"/>
    <s v="Assured Returns"/>
    <s v="Fixed Returns"/>
    <s v="Financial Consultants"/>
  </r>
  <r>
    <x v="0"/>
    <n v="24"/>
    <x v="1"/>
    <s v="Yes"/>
    <n v="2"/>
    <n v="4"/>
    <n v="5"/>
    <n v="6"/>
    <n v="3"/>
    <n v="1"/>
    <n v="7"/>
    <s v="Yes"/>
    <x v="2"/>
    <s v="Capital Appreciation"/>
    <s v="Wealth Creation"/>
    <x v="2"/>
    <s v="Monthly"/>
    <x v="0"/>
    <x v="1"/>
    <x v="1"/>
    <s v="Capital Appreciation"/>
    <x v="0"/>
    <s v="Assured Returns"/>
    <s v="Risk Free"/>
    <s v="Newspapers and Magazines"/>
  </r>
  <r>
    <x v="1"/>
    <n v="27"/>
    <x v="2"/>
    <s v="Yes"/>
    <n v="3"/>
    <n v="4"/>
    <n v="6"/>
    <n v="5"/>
    <n v="2"/>
    <n v="1"/>
    <n v="7"/>
    <s v="Yes"/>
    <x v="0"/>
    <s v="Capital Appreciation"/>
    <s v="Wealth Creation"/>
    <x v="2"/>
    <s v="Monthly"/>
    <x v="0"/>
    <x v="0"/>
    <x v="0"/>
    <s v="Capital Appreciation"/>
    <x v="0"/>
    <s v="Assured Returns"/>
    <s v="Risk Free"/>
    <s v="Financial Consultants"/>
  </r>
  <r>
    <x v="1"/>
    <n v="25"/>
    <x v="1"/>
    <s v="Yes"/>
    <n v="2"/>
    <n v="4"/>
    <n v="6"/>
    <n v="5"/>
    <n v="3"/>
    <n v="1"/>
    <n v="7"/>
    <s v="Yes"/>
    <x v="2"/>
    <s v="Growth"/>
    <s v="Savings for Future"/>
    <x v="2"/>
    <s v="Weekly"/>
    <x v="0"/>
    <x v="3"/>
    <x v="1"/>
    <s v="Liquidity"/>
    <x v="0"/>
    <s v="Assured Returns"/>
    <s v="Risk Free"/>
    <s v="Financial Consultants"/>
  </r>
  <r>
    <x v="0"/>
    <n v="26"/>
    <x v="2"/>
    <s v="Yes"/>
    <n v="2"/>
    <n v="3"/>
    <n v="7"/>
    <n v="5"/>
    <n v="4"/>
    <n v="1"/>
    <n v="6"/>
    <s v="Yes"/>
    <x v="0"/>
    <s v="Capital Appreciation"/>
    <s v="Wealth Creation"/>
    <x v="2"/>
    <s v="Monthly"/>
    <x v="2"/>
    <x v="3"/>
    <x v="0"/>
    <s v="Capital Appreciation"/>
    <x v="0"/>
    <s v="Assured Returns"/>
    <s v="Risk Free"/>
    <s v="Newspapers and Magazines"/>
  </r>
  <r>
    <x v="0"/>
    <n v="32"/>
    <x v="0"/>
    <s v="Yes"/>
    <n v="3"/>
    <n v="4"/>
    <n v="7"/>
    <n v="5"/>
    <n v="1"/>
    <n v="2"/>
    <n v="6"/>
    <s v="Yes"/>
    <x v="2"/>
    <s v="Growth"/>
    <s v="Wealth Creation"/>
    <x v="2"/>
    <s v="Monthly"/>
    <x v="0"/>
    <x v="0"/>
    <x v="0"/>
    <s v="Capital Appreciation"/>
    <x v="0"/>
    <s v="Assured Returns"/>
    <s v="Fixed Returns"/>
    <s v="Financial Consultants"/>
  </r>
  <r>
    <x v="1"/>
    <n v="26"/>
    <x v="2"/>
    <s v="Yes"/>
    <n v="3"/>
    <n v="4"/>
    <n v="6"/>
    <n v="5"/>
    <n v="1"/>
    <n v="2"/>
    <n v="7"/>
    <s v="Yes"/>
    <x v="0"/>
    <s v="Capital Appreciation"/>
    <s v="Wealth Creation"/>
    <x v="2"/>
    <s v="Monthly"/>
    <x v="0"/>
    <x v="0"/>
    <x v="0"/>
    <s v="Dividend"/>
    <x v="2"/>
    <s v="Assured Returns"/>
    <s v="Fixed Returns"/>
    <s v="Financial Consultants"/>
  </r>
  <r>
    <x v="1"/>
    <n v="31"/>
    <x v="0"/>
    <s v="Yes"/>
    <n v="2"/>
    <n v="3"/>
    <n v="7"/>
    <n v="6"/>
    <n v="4"/>
    <n v="1"/>
    <n v="5"/>
    <s v="Yes"/>
    <x v="2"/>
    <s v="Growth"/>
    <s v="Savings for Future"/>
    <x v="0"/>
    <s v="Monthly"/>
    <x v="0"/>
    <x v="2"/>
    <x v="1"/>
    <s v="Capital Appreciation"/>
    <x v="2"/>
    <s v="Safe Investment"/>
    <s v="Fixed Returns"/>
    <s v="Television"/>
  </r>
  <r>
    <x v="1"/>
    <n v="29"/>
    <x v="2"/>
    <s v="Yes"/>
    <n v="2"/>
    <n v="3"/>
    <n v="6"/>
    <n v="5"/>
    <n v="1"/>
    <n v="4"/>
    <n v="7"/>
    <s v="Yes"/>
    <x v="0"/>
    <s v="Capital Appreciation"/>
    <s v="Wealth Creation"/>
    <x v="0"/>
    <s v="Monthly"/>
    <x v="0"/>
    <x v="1"/>
    <x v="0"/>
    <s v="Capital Appreciation"/>
    <x v="0"/>
    <s v="Assured Returns"/>
    <s v="Risk Free"/>
    <s v="Television"/>
  </r>
  <r>
    <x v="0"/>
    <n v="34"/>
    <x v="0"/>
    <s v="Yes"/>
    <n v="5"/>
    <n v="4"/>
    <n v="3"/>
    <n v="2"/>
    <n v="7"/>
    <n v="1"/>
    <n v="6"/>
    <s v="Yes"/>
    <x v="0"/>
    <s v="Income"/>
    <s v="Returns"/>
    <x v="2"/>
    <s v="Monthly"/>
    <x v="1"/>
    <x v="0"/>
    <x v="0"/>
    <s v="Capital Appreciation"/>
    <x v="1"/>
    <s v="Safe Investment"/>
    <s v="Fixed Returns"/>
    <s v="Newspapers and Magazines"/>
  </r>
  <r>
    <x v="1"/>
    <n v="27"/>
    <x v="2"/>
    <s v="Yes"/>
    <n v="4"/>
    <n v="5"/>
    <n v="1"/>
    <n v="2"/>
    <n v="7"/>
    <n v="3"/>
    <n v="6"/>
    <s v="No"/>
    <x v="0"/>
    <s v="Growth"/>
    <s v="Wealth Creation"/>
    <x v="0"/>
    <s v="Monthly"/>
    <x v="1"/>
    <x v="0"/>
    <x v="2"/>
    <s v="Capital Appreciation"/>
    <x v="1"/>
    <s v="Safe Investment"/>
    <s v="Fixed Returns"/>
    <s v="Television"/>
  </r>
  <r>
    <x v="0"/>
    <n v="31"/>
    <x v="0"/>
    <s v="Yes"/>
    <n v="2"/>
    <n v="4"/>
    <n v="7"/>
    <n v="6"/>
    <n v="3"/>
    <n v="1"/>
    <n v="5"/>
    <s v="Yes"/>
    <x v="0"/>
    <s v="Capital Appreciation"/>
    <s v="Wealth Creation"/>
    <x v="2"/>
    <s v="Monthly"/>
    <x v="0"/>
    <x v="2"/>
    <x v="0"/>
    <s v="Capital Appreciation"/>
    <x v="0"/>
    <s v="Assured Returns"/>
    <s v="Fixed Returns"/>
    <s v="Financial Consultants"/>
  </r>
  <r>
    <x v="1"/>
    <n v="27"/>
    <x v="2"/>
    <s v="Yes"/>
    <n v="2"/>
    <n v="4"/>
    <n v="7"/>
    <n v="5"/>
    <n v="1"/>
    <n v="3"/>
    <n v="6"/>
    <s v="Yes"/>
    <x v="0"/>
    <s v="Capital Appreciation"/>
    <s v="Wealth Creation"/>
    <x v="2"/>
    <s v="Monthly"/>
    <x v="2"/>
    <x v="1"/>
    <x v="1"/>
    <s v="Capital Appreciation"/>
    <x v="2"/>
    <s v="Assured Returns"/>
    <s v="Fixed Returns"/>
    <s v="Newspapers and Magazines"/>
  </r>
  <r>
    <x v="1"/>
    <n v="26"/>
    <x v="2"/>
    <s v="Yes"/>
    <n v="2"/>
    <n v="3"/>
    <n v="6"/>
    <n v="4"/>
    <n v="1"/>
    <n v="5"/>
    <n v="7"/>
    <s v="Yes"/>
    <x v="0"/>
    <s v="Capital Appreciation"/>
    <s v="Returns"/>
    <x v="0"/>
    <s v="Monthly"/>
    <x v="0"/>
    <x v="2"/>
    <x v="2"/>
    <s v="Dividend"/>
    <x v="0"/>
    <s v="Safe Investment"/>
    <s v="Risk Free"/>
    <s v="Newspapers and Magazines"/>
  </r>
  <r>
    <x v="1"/>
    <n v="27"/>
    <x v="2"/>
    <s v="Yes"/>
    <n v="2"/>
    <n v="3"/>
    <n v="6"/>
    <n v="5"/>
    <n v="4"/>
    <n v="1"/>
    <n v="7"/>
    <s v="Yes"/>
    <x v="0"/>
    <s v="Capital Appreciation"/>
    <s v="Wealth Creation"/>
    <x v="0"/>
    <s v="Weekly"/>
    <x v="0"/>
    <x v="0"/>
    <x v="1"/>
    <s v="Capital Appreciation"/>
    <x v="0"/>
    <s v="Safe Investment"/>
    <s v="Fixed Returns"/>
    <s v="Financial Consultants"/>
  </r>
  <r>
    <x v="1"/>
    <n v="30"/>
    <x v="2"/>
    <s v="Yes"/>
    <n v="1"/>
    <n v="4"/>
    <n v="6"/>
    <n v="5"/>
    <n v="3"/>
    <n v="2"/>
    <n v="7"/>
    <s v="Yes"/>
    <x v="2"/>
    <s v="Growth"/>
    <s v="Wealth Creation"/>
    <x v="2"/>
    <s v="Monthly"/>
    <x v="0"/>
    <x v="2"/>
    <x v="1"/>
    <s v="Capital Appreciation"/>
    <x v="0"/>
    <s v="Assured Returns"/>
    <s v="Fixed Returns"/>
    <s v="Financial Consultants"/>
  </r>
  <r>
    <x v="1"/>
    <n v="30"/>
    <x v="2"/>
    <s v="Yes"/>
    <n v="2"/>
    <n v="4"/>
    <n v="7"/>
    <n v="5"/>
    <n v="1"/>
    <n v="3"/>
    <n v="6"/>
    <s v="Yes"/>
    <x v="0"/>
    <s v="Capital Appreciation"/>
    <s v="Wealth Creation"/>
    <x v="0"/>
    <s v="Monthly"/>
    <x v="0"/>
    <x v="1"/>
    <x v="0"/>
    <s v="Capital Appreciation"/>
    <x v="0"/>
    <s v="Assured Returns"/>
    <s v="Risk Free"/>
    <s v="Newspapers and Magazines"/>
  </r>
  <r>
    <x v="1"/>
    <n v="25"/>
    <x v="1"/>
    <s v="Yes"/>
    <n v="5"/>
    <n v="4"/>
    <n v="7"/>
    <n v="6"/>
    <n v="1"/>
    <n v="2"/>
    <n v="3"/>
    <s v="Yes"/>
    <x v="2"/>
    <s v="Growth"/>
    <s v="Savings for Future"/>
    <x v="2"/>
    <s v="Monthly"/>
    <x v="2"/>
    <x v="3"/>
    <x v="1"/>
    <s v="Capital Appreciation"/>
    <x v="0"/>
    <s v="Safe Investment"/>
    <s v="Fixed Returns"/>
    <s v="Financial Consultants"/>
  </r>
  <r>
    <x v="1"/>
    <n v="31"/>
    <x v="0"/>
    <s v="Yes"/>
    <n v="2"/>
    <n v="4"/>
    <n v="7"/>
    <n v="5"/>
    <n v="3"/>
    <n v="1"/>
    <n v="6"/>
    <s v="Yes"/>
    <x v="2"/>
    <s v="Growth"/>
    <s v="Wealth Creation"/>
    <x v="0"/>
    <s v="Weekly"/>
    <x v="0"/>
    <x v="1"/>
    <x v="1"/>
    <s v="Dividend"/>
    <x v="2"/>
    <s v="Assured Returns"/>
    <s v="Fixed Returns"/>
    <s v="Newspapers and Magazines"/>
  </r>
  <r>
    <x v="1"/>
    <n v="29"/>
    <x v="2"/>
    <s v="Yes"/>
    <n v="4"/>
    <n v="3"/>
    <n v="5"/>
    <n v="7"/>
    <n v="2"/>
    <n v="1"/>
    <n v="6"/>
    <s v="Yes"/>
    <x v="0"/>
    <s v="Capital Appreciation"/>
    <s v="Wealth Creation"/>
    <x v="2"/>
    <s v="Monthly"/>
    <x v="0"/>
    <x v="2"/>
    <x v="0"/>
    <s v="Dividend"/>
    <x v="0"/>
    <s v="Safe Investment"/>
    <s v="Fixed Returns"/>
    <s v="Financial Consulta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681ABF-C92E-4C94-8D6F-8A1CED70A2C1}"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venue">
  <location ref="A3:D9" firstHeaderRow="1" firstDataRow="2" firstDataCol="1"/>
  <pivotFields count="25">
    <pivotField axis="axisCol" dataField="1" showAll="0">
      <items count="3">
        <item x="0"/>
        <item x="1"/>
        <item t="default"/>
      </items>
    </pivotField>
    <pivotField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items count="4">
        <item x="1"/>
        <item x="0"/>
        <item x="2"/>
        <item t="default"/>
      </items>
    </pivotField>
    <pivotField axis="axisRow" showAll="0">
      <items count="5">
        <item x="1"/>
        <item x="2"/>
        <item x="0"/>
        <item x="3"/>
        <item t="default"/>
      </items>
    </pivotField>
    <pivotField showAll="0"/>
    <pivotField showAll="0"/>
    <pivotField showAll="0"/>
    <pivotField showAll="0"/>
    <pivotField showAll="0"/>
    <pivotField showAll="0"/>
  </pivotFields>
  <rowFields count="1">
    <field x="18"/>
  </rowFields>
  <rowItems count="5">
    <i>
      <x/>
    </i>
    <i>
      <x v="1"/>
    </i>
    <i>
      <x v="2"/>
    </i>
    <i>
      <x v="3"/>
    </i>
    <i t="grand">
      <x/>
    </i>
  </rowItems>
  <colFields count="1">
    <field x="0"/>
  </colFields>
  <colItems count="3">
    <i>
      <x/>
    </i>
    <i>
      <x v="1"/>
    </i>
    <i t="grand">
      <x/>
    </i>
  </colItems>
  <dataFields count="1">
    <dataField name="Count of Gender" fld="0" subtotal="count" baseField="0" baseItem="0"/>
  </dataFields>
  <formats count="40">
    <format dxfId="935">
      <pivotArea type="all" dataOnly="0" outline="0" fieldPosition="0"/>
    </format>
    <format dxfId="934">
      <pivotArea outline="0" collapsedLevelsAreSubtotals="1" fieldPosition="0"/>
    </format>
    <format dxfId="933">
      <pivotArea type="origin" dataOnly="0" labelOnly="1" outline="0" fieldPosition="0"/>
    </format>
    <format dxfId="932">
      <pivotArea field="0" type="button" dataOnly="0" labelOnly="1" outline="0" axis="axisCol" fieldPosition="0"/>
    </format>
    <format dxfId="931">
      <pivotArea type="topRight" dataOnly="0" labelOnly="1" outline="0" fieldPosition="0"/>
    </format>
    <format dxfId="930">
      <pivotArea field="18" type="button" dataOnly="0" labelOnly="1" outline="0" axis="axisRow" fieldPosition="0"/>
    </format>
    <format dxfId="929">
      <pivotArea dataOnly="0" labelOnly="1" fieldPosition="0">
        <references count="1">
          <reference field="18" count="0"/>
        </references>
      </pivotArea>
    </format>
    <format dxfId="928">
      <pivotArea dataOnly="0" labelOnly="1" grandRow="1" outline="0" fieldPosition="0"/>
    </format>
    <format dxfId="927">
      <pivotArea dataOnly="0" labelOnly="1" fieldPosition="0">
        <references count="1">
          <reference field="0" count="0"/>
        </references>
      </pivotArea>
    </format>
    <format dxfId="926">
      <pivotArea dataOnly="0" labelOnly="1" grandCol="1" outline="0" fieldPosition="0"/>
    </format>
    <format dxfId="925">
      <pivotArea type="all" dataOnly="0" outline="0" fieldPosition="0"/>
    </format>
    <format dxfId="924">
      <pivotArea outline="0" collapsedLevelsAreSubtotals="1" fieldPosition="0"/>
    </format>
    <format dxfId="923">
      <pivotArea type="origin" dataOnly="0" labelOnly="1" outline="0" fieldPosition="0"/>
    </format>
    <format dxfId="922">
      <pivotArea field="0" type="button" dataOnly="0" labelOnly="1" outline="0" axis="axisCol" fieldPosition="0"/>
    </format>
    <format dxfId="921">
      <pivotArea type="topRight" dataOnly="0" labelOnly="1" outline="0" fieldPosition="0"/>
    </format>
    <format dxfId="920">
      <pivotArea field="18" type="button" dataOnly="0" labelOnly="1" outline="0" axis="axisRow" fieldPosition="0"/>
    </format>
    <format dxfId="919">
      <pivotArea dataOnly="0" labelOnly="1" fieldPosition="0">
        <references count="1">
          <reference field="18" count="0"/>
        </references>
      </pivotArea>
    </format>
    <format dxfId="918">
      <pivotArea dataOnly="0" labelOnly="1" grandRow="1" outline="0" fieldPosition="0"/>
    </format>
    <format dxfId="917">
      <pivotArea dataOnly="0" labelOnly="1" fieldPosition="0">
        <references count="1">
          <reference field="0" count="0"/>
        </references>
      </pivotArea>
    </format>
    <format dxfId="916">
      <pivotArea dataOnly="0" labelOnly="1" grandCol="1" outline="0" fieldPosition="0"/>
    </format>
    <format dxfId="915">
      <pivotArea type="all" dataOnly="0" outline="0" fieldPosition="0"/>
    </format>
    <format dxfId="914">
      <pivotArea outline="0" collapsedLevelsAreSubtotals="1" fieldPosition="0"/>
    </format>
    <format dxfId="913">
      <pivotArea type="origin" dataOnly="0" labelOnly="1" outline="0" fieldPosition="0"/>
    </format>
    <format dxfId="912">
      <pivotArea field="0" type="button" dataOnly="0" labelOnly="1" outline="0" axis="axisCol" fieldPosition="0"/>
    </format>
    <format dxfId="911">
      <pivotArea type="topRight" dataOnly="0" labelOnly="1" outline="0" fieldPosition="0"/>
    </format>
    <format dxfId="910">
      <pivotArea field="18" type="button" dataOnly="0" labelOnly="1" outline="0" axis="axisRow" fieldPosition="0"/>
    </format>
    <format dxfId="909">
      <pivotArea dataOnly="0" labelOnly="1" fieldPosition="0">
        <references count="1">
          <reference field="18" count="0"/>
        </references>
      </pivotArea>
    </format>
    <format dxfId="908">
      <pivotArea dataOnly="0" labelOnly="1" grandRow="1" outline="0" fieldPosition="0"/>
    </format>
    <format dxfId="907">
      <pivotArea dataOnly="0" labelOnly="1" fieldPosition="0">
        <references count="1">
          <reference field="0" count="0"/>
        </references>
      </pivotArea>
    </format>
    <format dxfId="906">
      <pivotArea dataOnly="0" labelOnly="1" grandCol="1" outline="0" fieldPosition="0"/>
    </format>
    <format dxfId="905">
      <pivotArea type="all" dataOnly="0" outline="0" fieldPosition="0"/>
    </format>
    <format dxfId="904">
      <pivotArea outline="0" collapsedLevelsAreSubtotals="1" fieldPosition="0"/>
    </format>
    <format dxfId="903">
      <pivotArea type="origin" dataOnly="0" labelOnly="1" outline="0" fieldPosition="0"/>
    </format>
    <format dxfId="902">
      <pivotArea field="0" type="button" dataOnly="0" labelOnly="1" outline="0" axis="axisCol" fieldPosition="0"/>
    </format>
    <format dxfId="901">
      <pivotArea type="topRight" dataOnly="0" labelOnly="1" outline="0" fieldPosition="0"/>
    </format>
    <format dxfId="900">
      <pivotArea field="18" type="button" dataOnly="0" labelOnly="1" outline="0" axis="axisRow" fieldPosition="0"/>
    </format>
    <format dxfId="899">
      <pivotArea dataOnly="0" labelOnly="1" fieldPosition="0">
        <references count="1">
          <reference field="18" count="0"/>
        </references>
      </pivotArea>
    </format>
    <format dxfId="898">
      <pivotArea dataOnly="0" labelOnly="1" grandRow="1" outline="0" fieldPosition="0"/>
    </format>
    <format dxfId="897">
      <pivotArea dataOnly="0" labelOnly="1" fieldPosition="0">
        <references count="1">
          <reference field="0" count="0"/>
        </references>
      </pivotArea>
    </format>
    <format dxfId="896">
      <pivotArea dataOnly="0" labelOnly="1" grandCol="1" outline="0"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A23253-9393-43E7-83DF-586DCE616725}"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
  <location ref="A3:B7" firstHeaderRow="1" firstDataRow="1" firstDataCol="1"/>
  <pivotFields count="25">
    <pivotField dataField="1" showAll="0">
      <items count="3">
        <item x="0"/>
        <item x="1"/>
        <item t="default"/>
      </items>
    </pivotField>
    <pivotField showAll="0"/>
    <pivotField axis="axisRow"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Gender" fld="0" subtotal="count" baseField="0" baseItem="0"/>
  </dataFields>
  <formats count="24">
    <format dxfId="895">
      <pivotArea type="all" dataOnly="0" outline="0" fieldPosition="0"/>
    </format>
    <format dxfId="894">
      <pivotArea outline="0" collapsedLevelsAreSubtotals="1" fieldPosition="0"/>
    </format>
    <format dxfId="893">
      <pivotArea field="2" type="button" dataOnly="0" labelOnly="1" outline="0" axis="axisRow" fieldPosition="0"/>
    </format>
    <format dxfId="892">
      <pivotArea dataOnly="0" labelOnly="1" fieldPosition="0">
        <references count="1">
          <reference field="2" count="0"/>
        </references>
      </pivotArea>
    </format>
    <format dxfId="891">
      <pivotArea dataOnly="0" labelOnly="1" grandRow="1" outline="0" fieldPosition="0"/>
    </format>
    <format dxfId="890">
      <pivotArea dataOnly="0" labelOnly="1" outline="0" axis="axisValues" fieldPosition="0"/>
    </format>
    <format dxfId="889">
      <pivotArea type="all" dataOnly="0" outline="0" fieldPosition="0"/>
    </format>
    <format dxfId="888">
      <pivotArea outline="0" collapsedLevelsAreSubtotals="1" fieldPosition="0"/>
    </format>
    <format dxfId="887">
      <pivotArea field="2" type="button" dataOnly="0" labelOnly="1" outline="0" axis="axisRow" fieldPosition="0"/>
    </format>
    <format dxfId="886">
      <pivotArea dataOnly="0" labelOnly="1" fieldPosition="0">
        <references count="1">
          <reference field="2" count="0"/>
        </references>
      </pivotArea>
    </format>
    <format dxfId="885">
      <pivotArea dataOnly="0" labelOnly="1" grandRow="1" outline="0" fieldPosition="0"/>
    </format>
    <format dxfId="884">
      <pivotArea dataOnly="0" labelOnly="1" outline="0" axis="axisValues" fieldPosition="0"/>
    </format>
    <format dxfId="883">
      <pivotArea type="all" dataOnly="0" outline="0" fieldPosition="0"/>
    </format>
    <format dxfId="882">
      <pivotArea outline="0" collapsedLevelsAreSubtotals="1" fieldPosition="0"/>
    </format>
    <format dxfId="881">
      <pivotArea field="2" type="button" dataOnly="0" labelOnly="1" outline="0" axis="axisRow" fieldPosition="0"/>
    </format>
    <format dxfId="880">
      <pivotArea dataOnly="0" labelOnly="1" fieldPosition="0">
        <references count="1">
          <reference field="2" count="0"/>
        </references>
      </pivotArea>
    </format>
    <format dxfId="879">
      <pivotArea dataOnly="0" labelOnly="1" grandRow="1" outline="0" fieldPosition="0"/>
    </format>
    <format dxfId="878">
      <pivotArea dataOnly="0" labelOnly="1" outline="0" axis="axisValues" fieldPosition="0"/>
    </format>
    <format dxfId="877">
      <pivotArea type="all" dataOnly="0" outline="0" fieldPosition="0"/>
    </format>
    <format dxfId="876">
      <pivotArea outline="0" collapsedLevelsAreSubtotals="1" fieldPosition="0"/>
    </format>
    <format dxfId="875">
      <pivotArea field="2" type="button" dataOnly="0" labelOnly="1" outline="0" axis="axisRow" fieldPosition="0"/>
    </format>
    <format dxfId="874">
      <pivotArea dataOnly="0" labelOnly="1" fieldPosition="0">
        <references count="1">
          <reference field="2" count="0"/>
        </references>
      </pivotArea>
    </format>
    <format dxfId="873">
      <pivotArea dataOnly="0" labelOnly="1" grandRow="1" outline="0" fieldPosition="0"/>
    </format>
    <format dxfId="87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60F294-D174-4950-B000-B29400E368D4}"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A3:E8" firstHeaderRow="1" firstDataRow="2" firstDataCol="1"/>
  <pivotFields count="25">
    <pivotField showAll="0">
      <items count="3">
        <item x="0"/>
        <item x="1"/>
        <item t="default"/>
      </items>
    </pivotField>
    <pivotField showAll="0"/>
    <pivotField axis="axisRow"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pivotField axis="axisCol" dataField="1" showAll="0">
      <items count="4">
        <item x="1"/>
        <item x="0"/>
        <item x="2"/>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Fields count="1">
    <field x="12"/>
  </colFields>
  <colItems count="4">
    <i>
      <x/>
    </i>
    <i>
      <x v="1"/>
    </i>
    <i>
      <x v="2"/>
    </i>
    <i t="grand">
      <x/>
    </i>
  </colItems>
  <dataFields count="1">
    <dataField name="Count of Factor" fld="12" subtotal="count" baseField="0" baseItem="0"/>
  </dataFields>
  <formats count="40">
    <format dxfId="871">
      <pivotArea type="all" dataOnly="0" outline="0" fieldPosition="0"/>
    </format>
    <format dxfId="870">
      <pivotArea outline="0" collapsedLevelsAreSubtotals="1" fieldPosition="0"/>
    </format>
    <format dxfId="869">
      <pivotArea type="origin" dataOnly="0" labelOnly="1" outline="0" fieldPosition="0"/>
    </format>
    <format dxfId="868">
      <pivotArea field="12" type="button" dataOnly="0" labelOnly="1" outline="0" axis="axisCol" fieldPosition="0"/>
    </format>
    <format dxfId="867">
      <pivotArea type="topRight" dataOnly="0" labelOnly="1" outline="0" fieldPosition="0"/>
    </format>
    <format dxfId="866">
      <pivotArea field="2" type="button" dataOnly="0" labelOnly="1" outline="0" axis="axisRow" fieldPosition="0"/>
    </format>
    <format dxfId="865">
      <pivotArea dataOnly="0" labelOnly="1" fieldPosition="0">
        <references count="1">
          <reference field="2" count="0"/>
        </references>
      </pivotArea>
    </format>
    <format dxfId="864">
      <pivotArea dataOnly="0" labelOnly="1" grandRow="1" outline="0" fieldPosition="0"/>
    </format>
    <format dxfId="863">
      <pivotArea dataOnly="0" labelOnly="1" fieldPosition="0">
        <references count="1">
          <reference field="12" count="0"/>
        </references>
      </pivotArea>
    </format>
    <format dxfId="862">
      <pivotArea dataOnly="0" labelOnly="1" grandCol="1" outline="0" fieldPosition="0"/>
    </format>
    <format dxfId="861">
      <pivotArea type="all" dataOnly="0" outline="0" fieldPosition="0"/>
    </format>
    <format dxfId="860">
      <pivotArea outline="0" collapsedLevelsAreSubtotals="1" fieldPosition="0"/>
    </format>
    <format dxfId="859">
      <pivotArea type="origin" dataOnly="0" labelOnly="1" outline="0" fieldPosition="0"/>
    </format>
    <format dxfId="858">
      <pivotArea field="12" type="button" dataOnly="0" labelOnly="1" outline="0" axis="axisCol" fieldPosition="0"/>
    </format>
    <format dxfId="857">
      <pivotArea type="topRight" dataOnly="0" labelOnly="1" outline="0" fieldPosition="0"/>
    </format>
    <format dxfId="856">
      <pivotArea field="2" type="button" dataOnly="0" labelOnly="1" outline="0" axis="axisRow" fieldPosition="0"/>
    </format>
    <format dxfId="855">
      <pivotArea dataOnly="0" labelOnly="1" fieldPosition="0">
        <references count="1">
          <reference field="2" count="0"/>
        </references>
      </pivotArea>
    </format>
    <format dxfId="854">
      <pivotArea dataOnly="0" labelOnly="1" grandRow="1" outline="0" fieldPosition="0"/>
    </format>
    <format dxfId="853">
      <pivotArea dataOnly="0" labelOnly="1" fieldPosition="0">
        <references count="1">
          <reference field="12" count="0"/>
        </references>
      </pivotArea>
    </format>
    <format dxfId="852">
      <pivotArea dataOnly="0" labelOnly="1" grandCol="1" outline="0" fieldPosition="0"/>
    </format>
    <format dxfId="851">
      <pivotArea type="all" dataOnly="0" outline="0" fieldPosition="0"/>
    </format>
    <format dxfId="850">
      <pivotArea outline="0" collapsedLevelsAreSubtotals="1" fieldPosition="0"/>
    </format>
    <format dxfId="849">
      <pivotArea type="origin" dataOnly="0" labelOnly="1" outline="0" fieldPosition="0"/>
    </format>
    <format dxfId="848">
      <pivotArea field="12" type="button" dataOnly="0" labelOnly="1" outline="0" axis="axisCol" fieldPosition="0"/>
    </format>
    <format dxfId="847">
      <pivotArea type="topRight" dataOnly="0" labelOnly="1" outline="0" fieldPosition="0"/>
    </format>
    <format dxfId="846">
      <pivotArea field="2" type="button" dataOnly="0" labelOnly="1" outline="0" axis="axisRow" fieldPosition="0"/>
    </format>
    <format dxfId="845">
      <pivotArea dataOnly="0" labelOnly="1" fieldPosition="0">
        <references count="1">
          <reference field="2" count="0"/>
        </references>
      </pivotArea>
    </format>
    <format dxfId="844">
      <pivotArea dataOnly="0" labelOnly="1" grandRow="1" outline="0" fieldPosition="0"/>
    </format>
    <format dxfId="843">
      <pivotArea dataOnly="0" labelOnly="1" fieldPosition="0">
        <references count="1">
          <reference field="12" count="0"/>
        </references>
      </pivotArea>
    </format>
    <format dxfId="842">
      <pivotArea dataOnly="0" labelOnly="1" grandCol="1" outline="0" fieldPosition="0"/>
    </format>
    <format dxfId="841">
      <pivotArea type="all" dataOnly="0" outline="0" fieldPosition="0"/>
    </format>
    <format dxfId="840">
      <pivotArea outline="0" collapsedLevelsAreSubtotals="1" fieldPosition="0"/>
    </format>
    <format dxfId="839">
      <pivotArea type="origin" dataOnly="0" labelOnly="1" outline="0" fieldPosition="0"/>
    </format>
    <format dxfId="838">
      <pivotArea field="12" type="button" dataOnly="0" labelOnly="1" outline="0" axis="axisCol" fieldPosition="0"/>
    </format>
    <format dxfId="837">
      <pivotArea type="topRight" dataOnly="0" labelOnly="1" outline="0" fieldPosition="0"/>
    </format>
    <format dxfId="836">
      <pivotArea field="2" type="button" dataOnly="0" labelOnly="1" outline="0" axis="axisRow" fieldPosition="0"/>
    </format>
    <format dxfId="835">
      <pivotArea dataOnly="0" labelOnly="1" fieldPosition="0">
        <references count="1">
          <reference field="2" count="0"/>
        </references>
      </pivotArea>
    </format>
    <format dxfId="834">
      <pivotArea dataOnly="0" labelOnly="1" grandRow="1" outline="0" fieldPosition="0"/>
    </format>
    <format dxfId="833">
      <pivotArea dataOnly="0" labelOnly="1" fieldPosition="0">
        <references count="1">
          <reference field="12" count="0"/>
        </references>
      </pivotArea>
    </format>
    <format dxfId="832">
      <pivotArea dataOnly="0" labelOnly="1" grandCol="1" outline="0" fieldPosition="0"/>
    </format>
  </format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1EF3D2-D946-4FD9-8D8F-51CF5D48B504}"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uration">
  <location ref="A3:E9" firstHeaderRow="1" firstDataRow="2" firstDataCol="1"/>
  <pivotFields count="25">
    <pivotField showAll="0">
      <items count="3">
        <item x="0"/>
        <item x="1"/>
        <item t="default"/>
      </items>
    </pivotField>
    <pivotField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axis="axisRow" showAll="0">
      <items count="5">
        <item x="0"/>
        <item x="2"/>
        <item x="3"/>
        <item x="1"/>
        <item t="default"/>
      </items>
    </pivotField>
    <pivotField showAll="0"/>
    <pivotField showAll="0">
      <items count="4">
        <item x="1"/>
        <item x="0"/>
        <item x="2"/>
        <item t="default"/>
      </items>
    </pivotField>
    <pivotField showAll="0"/>
    <pivotField axis="axisCol" dataField="1" showAll="0">
      <items count="4">
        <item x="2"/>
        <item x="1"/>
        <item x="0"/>
        <item t="default"/>
      </items>
    </pivotField>
    <pivotField showAll="0"/>
    <pivotField showAll="0"/>
    <pivotField showAll="0"/>
    <pivotField showAll="0"/>
    <pivotField showAll="0"/>
  </pivotFields>
  <rowFields count="1">
    <field x="15"/>
  </rowFields>
  <rowItems count="5">
    <i>
      <x/>
    </i>
    <i>
      <x v="1"/>
    </i>
    <i>
      <x v="2"/>
    </i>
    <i>
      <x v="3"/>
    </i>
    <i t="grand">
      <x/>
    </i>
  </rowItems>
  <colFields count="1">
    <field x="19"/>
  </colFields>
  <colItems count="4">
    <i>
      <x/>
    </i>
    <i>
      <x v="1"/>
    </i>
    <i>
      <x v="2"/>
    </i>
    <i t="grand">
      <x/>
    </i>
  </colItems>
  <dataFields count="1">
    <dataField name="Count of Savings_Objectives" fld="19" subtotal="count" baseField="0" baseItem="0"/>
  </dataFields>
  <formats count="40">
    <format dxfId="831">
      <pivotArea type="all" dataOnly="0" outline="0" fieldPosition="0"/>
    </format>
    <format dxfId="830">
      <pivotArea outline="0" collapsedLevelsAreSubtotals="1" fieldPosition="0"/>
    </format>
    <format dxfId="829">
      <pivotArea type="origin" dataOnly="0" labelOnly="1" outline="0" fieldPosition="0"/>
    </format>
    <format dxfId="828">
      <pivotArea field="19" type="button" dataOnly="0" labelOnly="1" outline="0" axis="axisCol" fieldPosition="0"/>
    </format>
    <format dxfId="827">
      <pivotArea type="topRight" dataOnly="0" labelOnly="1" outline="0" fieldPosition="0"/>
    </format>
    <format dxfId="826">
      <pivotArea field="15" type="button" dataOnly="0" labelOnly="1" outline="0" axis="axisRow" fieldPosition="0"/>
    </format>
    <format dxfId="825">
      <pivotArea dataOnly="0" labelOnly="1" fieldPosition="0">
        <references count="1">
          <reference field="15" count="0"/>
        </references>
      </pivotArea>
    </format>
    <format dxfId="824">
      <pivotArea dataOnly="0" labelOnly="1" grandRow="1" outline="0" fieldPosition="0"/>
    </format>
    <format dxfId="823">
      <pivotArea dataOnly="0" labelOnly="1" fieldPosition="0">
        <references count="1">
          <reference field="19" count="0"/>
        </references>
      </pivotArea>
    </format>
    <format dxfId="822">
      <pivotArea dataOnly="0" labelOnly="1" grandCol="1" outline="0" fieldPosition="0"/>
    </format>
    <format dxfId="821">
      <pivotArea type="all" dataOnly="0" outline="0" fieldPosition="0"/>
    </format>
    <format dxfId="820">
      <pivotArea outline="0" collapsedLevelsAreSubtotals="1" fieldPosition="0"/>
    </format>
    <format dxfId="819">
      <pivotArea type="origin" dataOnly="0" labelOnly="1" outline="0" fieldPosition="0"/>
    </format>
    <format dxfId="818">
      <pivotArea field="19" type="button" dataOnly="0" labelOnly="1" outline="0" axis="axisCol" fieldPosition="0"/>
    </format>
    <format dxfId="817">
      <pivotArea type="topRight" dataOnly="0" labelOnly="1" outline="0" fieldPosition="0"/>
    </format>
    <format dxfId="816">
      <pivotArea field="15" type="button" dataOnly="0" labelOnly="1" outline="0" axis="axisRow" fieldPosition="0"/>
    </format>
    <format dxfId="815">
      <pivotArea dataOnly="0" labelOnly="1" fieldPosition="0">
        <references count="1">
          <reference field="15" count="0"/>
        </references>
      </pivotArea>
    </format>
    <format dxfId="814">
      <pivotArea dataOnly="0" labelOnly="1" grandRow="1" outline="0" fieldPosition="0"/>
    </format>
    <format dxfId="813">
      <pivotArea dataOnly="0" labelOnly="1" fieldPosition="0">
        <references count="1">
          <reference field="19" count="0"/>
        </references>
      </pivotArea>
    </format>
    <format dxfId="812">
      <pivotArea dataOnly="0" labelOnly="1" grandCol="1" outline="0" fieldPosition="0"/>
    </format>
    <format dxfId="811">
      <pivotArea type="all" dataOnly="0" outline="0" fieldPosition="0"/>
    </format>
    <format dxfId="810">
      <pivotArea outline="0" collapsedLevelsAreSubtotals="1" fieldPosition="0"/>
    </format>
    <format dxfId="809">
      <pivotArea type="origin" dataOnly="0" labelOnly="1" outline="0" fieldPosition="0"/>
    </format>
    <format dxfId="808">
      <pivotArea field="19" type="button" dataOnly="0" labelOnly="1" outline="0" axis="axisCol" fieldPosition="0"/>
    </format>
    <format dxfId="807">
      <pivotArea type="topRight" dataOnly="0" labelOnly="1" outline="0" fieldPosition="0"/>
    </format>
    <format dxfId="806">
      <pivotArea field="15" type="button" dataOnly="0" labelOnly="1" outline="0" axis="axisRow" fieldPosition="0"/>
    </format>
    <format dxfId="805">
      <pivotArea dataOnly="0" labelOnly="1" fieldPosition="0">
        <references count="1">
          <reference field="15" count="0"/>
        </references>
      </pivotArea>
    </format>
    <format dxfId="804">
      <pivotArea dataOnly="0" labelOnly="1" grandRow="1" outline="0" fieldPosition="0"/>
    </format>
    <format dxfId="803">
      <pivotArea dataOnly="0" labelOnly="1" fieldPosition="0">
        <references count="1">
          <reference field="19" count="0"/>
        </references>
      </pivotArea>
    </format>
    <format dxfId="802">
      <pivotArea dataOnly="0" labelOnly="1" grandCol="1" outline="0" fieldPosition="0"/>
    </format>
    <format dxfId="801">
      <pivotArea type="all" dataOnly="0" outline="0" fieldPosition="0"/>
    </format>
    <format dxfId="800">
      <pivotArea outline="0" collapsedLevelsAreSubtotals="1" fieldPosition="0"/>
    </format>
    <format dxfId="799">
      <pivotArea type="origin" dataOnly="0" labelOnly="1" outline="0" fieldPosition="0"/>
    </format>
    <format dxfId="798">
      <pivotArea field="19" type="button" dataOnly="0" labelOnly="1" outline="0" axis="axisCol" fieldPosition="0"/>
    </format>
    <format dxfId="797">
      <pivotArea type="topRight" dataOnly="0" labelOnly="1" outline="0" fieldPosition="0"/>
    </format>
    <format dxfId="796">
      <pivotArea field="15" type="button" dataOnly="0" labelOnly="1" outline="0" axis="axisRow" fieldPosition="0"/>
    </format>
    <format dxfId="795">
      <pivotArea dataOnly="0" labelOnly="1" fieldPosition="0">
        <references count="1">
          <reference field="15" count="0"/>
        </references>
      </pivotArea>
    </format>
    <format dxfId="794">
      <pivotArea dataOnly="0" labelOnly="1" grandRow="1" outline="0" fieldPosition="0"/>
    </format>
    <format dxfId="793">
      <pivotArea dataOnly="0" labelOnly="1" fieldPosition="0">
        <references count="1">
          <reference field="19" count="0"/>
        </references>
      </pivotArea>
    </format>
    <format dxfId="792">
      <pivotArea dataOnly="0" labelOnly="1" grandCol="1" outline="0" fieldPosition="0"/>
    </format>
  </formats>
  <chartFormats count="6">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2" format="6" series="1">
      <pivotArea type="data" outline="0" fieldPosition="0">
        <references count="2">
          <reference field="4294967294" count="1" selected="0">
            <x v="0"/>
          </reference>
          <reference field="19" count="1" selected="0">
            <x v="0"/>
          </reference>
        </references>
      </pivotArea>
    </chartFormat>
    <chartFormat chart="2" format="7" series="1">
      <pivotArea type="data" outline="0" fieldPosition="0">
        <references count="2">
          <reference field="4294967294" count="1" selected="0">
            <x v="0"/>
          </reference>
          <reference field="19" count="1" selected="0">
            <x v="1"/>
          </reference>
        </references>
      </pivotArea>
    </chartFormat>
    <chartFormat chart="2"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38D684-F7CD-4438-A223-91C6946AD78C}"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xpected Returns">
  <location ref="A3:E8" firstHeaderRow="1" firstDataRow="2" firstDataCol="1" rowPageCount="1" colPageCount="1"/>
  <pivotFields count="25">
    <pivotField showAll="0">
      <items count="3">
        <item x="0"/>
        <item x="1"/>
        <item t="default"/>
      </items>
    </pivotField>
    <pivotField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axis="axisRow" showAll="0">
      <items count="4">
        <item x="1"/>
        <item x="0"/>
        <item x="2"/>
        <item t="default"/>
      </items>
    </pivotField>
    <pivotField axis="axisPage" showAll="0">
      <items count="5">
        <item x="1"/>
        <item x="2"/>
        <item x="0"/>
        <item x="3"/>
        <item t="default"/>
      </items>
    </pivotField>
    <pivotField showAll="0"/>
    <pivotField showAll="0"/>
    <pivotField axis="axisCol" dataField="1" showAll="0">
      <items count="4">
        <item x="0"/>
        <item x="2"/>
        <item x="1"/>
        <item t="default"/>
      </items>
    </pivotField>
    <pivotField showAll="0"/>
    <pivotField showAll="0"/>
    <pivotField showAll="0"/>
  </pivotFields>
  <rowFields count="1">
    <field x="17"/>
  </rowFields>
  <rowItems count="4">
    <i>
      <x/>
    </i>
    <i>
      <x v="1"/>
    </i>
    <i>
      <x v="2"/>
    </i>
    <i t="grand">
      <x/>
    </i>
  </rowItems>
  <colFields count="1">
    <field x="21"/>
  </colFields>
  <colItems count="4">
    <i>
      <x/>
    </i>
    <i>
      <x v="1"/>
    </i>
    <i>
      <x v="2"/>
    </i>
    <i t="grand">
      <x/>
    </i>
  </colItems>
  <pageFields count="1">
    <pageField fld="18" item="2" hier="-1"/>
  </pageFields>
  <dataFields count="1">
    <dataField name="Count of Reason_Mutual" fld="21" subtotal="count" baseField="0" baseItem="0"/>
  </dataFields>
  <formats count="40">
    <format dxfId="791">
      <pivotArea type="all" dataOnly="0" outline="0" fieldPosition="0"/>
    </format>
    <format dxfId="790">
      <pivotArea outline="0" collapsedLevelsAreSubtotals="1" fieldPosition="0"/>
    </format>
    <format dxfId="789">
      <pivotArea type="origin" dataOnly="0" labelOnly="1" outline="0" fieldPosition="0"/>
    </format>
    <format dxfId="788">
      <pivotArea field="21" type="button" dataOnly="0" labelOnly="1" outline="0" axis="axisCol" fieldPosition="0"/>
    </format>
    <format dxfId="787">
      <pivotArea type="topRight" dataOnly="0" labelOnly="1" outline="0" fieldPosition="0"/>
    </format>
    <format dxfId="786">
      <pivotArea field="17" type="button" dataOnly="0" labelOnly="1" outline="0" axis="axisRow" fieldPosition="0"/>
    </format>
    <format dxfId="785">
      <pivotArea dataOnly="0" labelOnly="1" fieldPosition="0">
        <references count="1">
          <reference field="17" count="0"/>
        </references>
      </pivotArea>
    </format>
    <format dxfId="784">
      <pivotArea dataOnly="0" labelOnly="1" grandRow="1" outline="0" fieldPosition="0"/>
    </format>
    <format dxfId="783">
      <pivotArea dataOnly="0" labelOnly="1" fieldPosition="0">
        <references count="1">
          <reference field="21" count="0"/>
        </references>
      </pivotArea>
    </format>
    <format dxfId="782">
      <pivotArea dataOnly="0" labelOnly="1" grandCol="1" outline="0" fieldPosition="0"/>
    </format>
    <format dxfId="781">
      <pivotArea type="all" dataOnly="0" outline="0" fieldPosition="0"/>
    </format>
    <format dxfId="780">
      <pivotArea outline="0" collapsedLevelsAreSubtotals="1" fieldPosition="0"/>
    </format>
    <format dxfId="779">
      <pivotArea type="origin" dataOnly="0" labelOnly="1" outline="0" fieldPosition="0"/>
    </format>
    <format dxfId="778">
      <pivotArea field="21" type="button" dataOnly="0" labelOnly="1" outline="0" axis="axisCol" fieldPosition="0"/>
    </format>
    <format dxfId="777">
      <pivotArea type="topRight" dataOnly="0" labelOnly="1" outline="0" fieldPosition="0"/>
    </format>
    <format dxfId="776">
      <pivotArea field="17" type="button" dataOnly="0" labelOnly="1" outline="0" axis="axisRow" fieldPosition="0"/>
    </format>
    <format dxfId="775">
      <pivotArea dataOnly="0" labelOnly="1" fieldPosition="0">
        <references count="1">
          <reference field="17" count="0"/>
        </references>
      </pivotArea>
    </format>
    <format dxfId="774">
      <pivotArea dataOnly="0" labelOnly="1" grandRow="1" outline="0" fieldPosition="0"/>
    </format>
    <format dxfId="773">
      <pivotArea dataOnly="0" labelOnly="1" fieldPosition="0">
        <references count="1">
          <reference field="21" count="0"/>
        </references>
      </pivotArea>
    </format>
    <format dxfId="772">
      <pivotArea dataOnly="0" labelOnly="1" grandCol="1" outline="0" fieldPosition="0"/>
    </format>
    <format dxfId="771">
      <pivotArea type="all" dataOnly="0" outline="0" fieldPosition="0"/>
    </format>
    <format dxfId="770">
      <pivotArea outline="0" collapsedLevelsAreSubtotals="1" fieldPosition="0"/>
    </format>
    <format dxfId="769">
      <pivotArea type="origin" dataOnly="0" labelOnly="1" outline="0" fieldPosition="0"/>
    </format>
    <format dxfId="768">
      <pivotArea field="21" type="button" dataOnly="0" labelOnly="1" outline="0" axis="axisCol" fieldPosition="0"/>
    </format>
    <format dxfId="767">
      <pivotArea type="topRight" dataOnly="0" labelOnly="1" outline="0" fieldPosition="0"/>
    </format>
    <format dxfId="766">
      <pivotArea field="17" type="button" dataOnly="0" labelOnly="1" outline="0" axis="axisRow" fieldPosition="0"/>
    </format>
    <format dxfId="765">
      <pivotArea dataOnly="0" labelOnly="1" fieldPosition="0">
        <references count="1">
          <reference field="17" count="0"/>
        </references>
      </pivotArea>
    </format>
    <format dxfId="764">
      <pivotArea dataOnly="0" labelOnly="1" grandRow="1" outline="0" fieldPosition="0"/>
    </format>
    <format dxfId="763">
      <pivotArea dataOnly="0" labelOnly="1" fieldPosition="0">
        <references count="1">
          <reference field="21" count="0"/>
        </references>
      </pivotArea>
    </format>
    <format dxfId="762">
      <pivotArea dataOnly="0" labelOnly="1" grandCol="1" outline="0" fieldPosition="0"/>
    </format>
    <format dxfId="761">
      <pivotArea type="all" dataOnly="0" outline="0" fieldPosition="0"/>
    </format>
    <format dxfId="760">
      <pivotArea outline="0" collapsedLevelsAreSubtotals="1" fieldPosition="0"/>
    </format>
    <format dxfId="759">
      <pivotArea type="origin" dataOnly="0" labelOnly="1" outline="0" fieldPosition="0"/>
    </format>
    <format dxfId="758">
      <pivotArea field="21" type="button" dataOnly="0" labelOnly="1" outline="0" axis="axisCol" fieldPosition="0"/>
    </format>
    <format dxfId="757">
      <pivotArea type="topRight" dataOnly="0" labelOnly="1" outline="0" fieldPosition="0"/>
    </format>
    <format dxfId="756">
      <pivotArea field="17" type="button" dataOnly="0" labelOnly="1" outline="0" axis="axisRow" fieldPosition="0"/>
    </format>
    <format dxfId="755">
      <pivotArea dataOnly="0" labelOnly="1" fieldPosition="0">
        <references count="1">
          <reference field="17" count="0"/>
        </references>
      </pivotArea>
    </format>
    <format dxfId="754">
      <pivotArea dataOnly="0" labelOnly="1" grandRow="1" outline="0" fieldPosition="0"/>
    </format>
    <format dxfId="753">
      <pivotArea dataOnly="0" labelOnly="1" fieldPosition="0">
        <references count="1">
          <reference field="21" count="0"/>
        </references>
      </pivotArea>
    </format>
    <format dxfId="752">
      <pivotArea dataOnly="0" labelOnly="1" grandCol="1" outline="0" fieldPosition="0"/>
    </format>
  </formats>
  <chartFormats count="6">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3" format="6" series="1">
      <pivotArea type="data" outline="0" fieldPosition="0">
        <references count="2">
          <reference field="4294967294" count="1" selected="0">
            <x v="0"/>
          </reference>
          <reference field="21" count="1" selected="0">
            <x v="0"/>
          </reference>
        </references>
      </pivotArea>
    </chartFormat>
    <chartFormat chart="3" format="7" series="1">
      <pivotArea type="data" outline="0" fieldPosition="0">
        <references count="2">
          <reference field="4294967294" count="1" selected="0">
            <x v="0"/>
          </reference>
          <reference field="21" count="1" selected="0">
            <x v="1"/>
          </reference>
        </references>
      </pivotArea>
    </chartFormat>
    <chartFormat chart="3" format="8" series="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610E18-EE48-4AF3-901D-D9836043D98B}"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xpected Returns">
  <location ref="A3:E8" firstHeaderRow="1" firstDataRow="2" firstDataCol="1"/>
  <pivotFields count="25">
    <pivotField showAll="0">
      <items count="3">
        <item x="0"/>
        <item x="1"/>
        <item t="default"/>
      </items>
    </pivotField>
    <pivotField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showAll="0"/>
    <pivotField axis="axisRow" showAll="0">
      <items count="4">
        <item x="1"/>
        <item x="0"/>
        <item x="2"/>
        <item t="default"/>
      </items>
    </pivotField>
    <pivotField showAll="0"/>
    <pivotField axis="axisCol" dataField="1" showAll="0">
      <items count="4">
        <item x="2"/>
        <item x="1"/>
        <item x="0"/>
        <item t="default"/>
      </items>
    </pivotField>
    <pivotField showAll="0"/>
    <pivotField showAll="0"/>
    <pivotField showAll="0"/>
    <pivotField showAll="0"/>
    <pivotField showAll="0"/>
  </pivotFields>
  <rowFields count="1">
    <field x="17"/>
  </rowFields>
  <rowItems count="4">
    <i>
      <x/>
    </i>
    <i>
      <x v="1"/>
    </i>
    <i>
      <x v="2"/>
    </i>
    <i t="grand">
      <x/>
    </i>
  </rowItems>
  <colFields count="1">
    <field x="19"/>
  </colFields>
  <colItems count="4">
    <i>
      <x/>
    </i>
    <i>
      <x v="1"/>
    </i>
    <i>
      <x v="2"/>
    </i>
    <i t="grand">
      <x/>
    </i>
  </colItems>
  <dataFields count="1">
    <dataField name="Count of Savings_Objectives" fld="19" subtotal="count" baseField="0" baseItem="0"/>
  </dataFields>
  <formats count="40">
    <format dxfId="751">
      <pivotArea type="all" dataOnly="0" outline="0" fieldPosition="0"/>
    </format>
    <format dxfId="750">
      <pivotArea outline="0" collapsedLevelsAreSubtotals="1" fieldPosition="0"/>
    </format>
    <format dxfId="749">
      <pivotArea type="origin" dataOnly="0" labelOnly="1" outline="0" fieldPosition="0"/>
    </format>
    <format dxfId="748">
      <pivotArea field="19" type="button" dataOnly="0" labelOnly="1" outline="0" axis="axisCol" fieldPosition="0"/>
    </format>
    <format dxfId="747">
      <pivotArea type="topRight" dataOnly="0" labelOnly="1" outline="0" fieldPosition="0"/>
    </format>
    <format dxfId="746">
      <pivotArea field="17" type="button" dataOnly="0" labelOnly="1" outline="0" axis="axisRow" fieldPosition="0"/>
    </format>
    <format dxfId="745">
      <pivotArea dataOnly="0" labelOnly="1" fieldPosition="0">
        <references count="1">
          <reference field="17" count="0"/>
        </references>
      </pivotArea>
    </format>
    <format dxfId="744">
      <pivotArea dataOnly="0" labelOnly="1" grandRow="1" outline="0" fieldPosition="0"/>
    </format>
    <format dxfId="743">
      <pivotArea dataOnly="0" labelOnly="1" fieldPosition="0">
        <references count="1">
          <reference field="19" count="0"/>
        </references>
      </pivotArea>
    </format>
    <format dxfId="742">
      <pivotArea dataOnly="0" labelOnly="1" grandCol="1" outline="0" fieldPosition="0"/>
    </format>
    <format dxfId="741">
      <pivotArea type="all" dataOnly="0" outline="0" fieldPosition="0"/>
    </format>
    <format dxfId="740">
      <pivotArea outline="0" collapsedLevelsAreSubtotals="1" fieldPosition="0"/>
    </format>
    <format dxfId="739">
      <pivotArea type="origin" dataOnly="0" labelOnly="1" outline="0" fieldPosition="0"/>
    </format>
    <format dxfId="738">
      <pivotArea field="19" type="button" dataOnly="0" labelOnly="1" outline="0" axis="axisCol" fieldPosition="0"/>
    </format>
    <format dxfId="737">
      <pivotArea type="topRight" dataOnly="0" labelOnly="1" outline="0" fieldPosition="0"/>
    </format>
    <format dxfId="736">
      <pivotArea field="17" type="button" dataOnly="0" labelOnly="1" outline="0" axis="axisRow" fieldPosition="0"/>
    </format>
    <format dxfId="735">
      <pivotArea dataOnly="0" labelOnly="1" fieldPosition="0">
        <references count="1">
          <reference field="17" count="0"/>
        </references>
      </pivotArea>
    </format>
    <format dxfId="734">
      <pivotArea dataOnly="0" labelOnly="1" grandRow="1" outline="0" fieldPosition="0"/>
    </format>
    <format dxfId="733">
      <pivotArea dataOnly="0" labelOnly="1" fieldPosition="0">
        <references count="1">
          <reference field="19" count="0"/>
        </references>
      </pivotArea>
    </format>
    <format dxfId="732">
      <pivotArea dataOnly="0" labelOnly="1" grandCol="1" outline="0" fieldPosition="0"/>
    </format>
    <format dxfId="731">
      <pivotArea type="all" dataOnly="0" outline="0" fieldPosition="0"/>
    </format>
    <format dxfId="730">
      <pivotArea outline="0" collapsedLevelsAreSubtotals="1" fieldPosition="0"/>
    </format>
    <format dxfId="729">
      <pivotArea type="origin" dataOnly="0" labelOnly="1" outline="0" fieldPosition="0"/>
    </format>
    <format dxfId="728">
      <pivotArea field="19" type="button" dataOnly="0" labelOnly="1" outline="0" axis="axisCol" fieldPosition="0"/>
    </format>
    <format dxfId="727">
      <pivotArea type="topRight" dataOnly="0" labelOnly="1" outline="0" fieldPosition="0"/>
    </format>
    <format dxfId="726">
      <pivotArea field="17" type="button" dataOnly="0" labelOnly="1" outline="0" axis="axisRow" fieldPosition="0"/>
    </format>
    <format dxfId="725">
      <pivotArea dataOnly="0" labelOnly="1" fieldPosition="0">
        <references count="1">
          <reference field="17" count="0"/>
        </references>
      </pivotArea>
    </format>
    <format dxfId="724">
      <pivotArea dataOnly="0" labelOnly="1" grandRow="1" outline="0" fieldPosition="0"/>
    </format>
    <format dxfId="723">
      <pivotArea dataOnly="0" labelOnly="1" fieldPosition="0">
        <references count="1">
          <reference field="19" count="0"/>
        </references>
      </pivotArea>
    </format>
    <format dxfId="722">
      <pivotArea dataOnly="0" labelOnly="1" grandCol="1" outline="0" fieldPosition="0"/>
    </format>
    <format dxfId="721">
      <pivotArea type="all" dataOnly="0" outline="0" fieldPosition="0"/>
    </format>
    <format dxfId="720">
      <pivotArea outline="0" collapsedLevelsAreSubtotals="1" fieldPosition="0"/>
    </format>
    <format dxfId="719">
      <pivotArea type="origin" dataOnly="0" labelOnly="1" outline="0" fieldPosition="0"/>
    </format>
    <format dxfId="718">
      <pivotArea field="19" type="button" dataOnly="0" labelOnly="1" outline="0" axis="axisCol" fieldPosition="0"/>
    </format>
    <format dxfId="717">
      <pivotArea type="topRight" dataOnly="0" labelOnly="1" outline="0" fieldPosition="0"/>
    </format>
    <format dxfId="716">
      <pivotArea field="17" type="button" dataOnly="0" labelOnly="1" outline="0" axis="axisRow" fieldPosition="0"/>
    </format>
    <format dxfId="715">
      <pivotArea dataOnly="0" labelOnly="1" fieldPosition="0">
        <references count="1">
          <reference field="17" count="0"/>
        </references>
      </pivotArea>
    </format>
    <format dxfId="714">
      <pivotArea dataOnly="0" labelOnly="1" grandRow="1" outline="0" fieldPosition="0"/>
    </format>
    <format dxfId="713">
      <pivotArea dataOnly="0" labelOnly="1" fieldPosition="0">
        <references count="1">
          <reference field="19" count="0"/>
        </references>
      </pivotArea>
    </format>
    <format dxfId="712">
      <pivotArea dataOnly="0" labelOnly="1" grandCol="1" outline="0" fieldPosition="0"/>
    </format>
  </formats>
  <chartFormats count="6">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3" format="6" series="1">
      <pivotArea type="data" outline="0" fieldPosition="0">
        <references count="2">
          <reference field="4294967294" count="1" selected="0">
            <x v="0"/>
          </reference>
          <reference field="19" count="1" selected="0">
            <x v="0"/>
          </reference>
        </references>
      </pivotArea>
    </chartFormat>
    <chartFormat chart="3" format="7" series="1">
      <pivotArea type="data" outline="0" fieldPosition="0">
        <references count="2">
          <reference field="4294967294" count="1" selected="0">
            <x v="0"/>
          </reference>
          <reference field="19" count="1" selected="0">
            <x v="1"/>
          </reference>
        </references>
      </pivotArea>
    </chartFormat>
    <chartFormat chart="3"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5634B57-A40C-478E-AC3A-56BCFAF08277}" sourceName="Gender">
  <pivotTables>
    <pivotTable tabId="5" name="PivotTable3"/>
    <pivotTable tabId="3" name="PivotTable1"/>
    <pivotTable tabId="4" name="PivotTable2"/>
    <pivotTable tabId="7" name="PivotTable5"/>
    <pivotTable tabId="6" name="PivotTable4"/>
    <pivotTable tabId="9" name="PivotTable6"/>
  </pivotTables>
  <data>
    <tabular pivotCacheId="1020337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6B0FD3D-A6F4-4D1E-923A-15730408C45D}" sourceName="Age_Group">
  <pivotTables>
    <pivotTable tabId="5" name="PivotTable3"/>
    <pivotTable tabId="3" name="PivotTable1"/>
    <pivotTable tabId="4" name="PivotTable2"/>
    <pivotTable tabId="7" name="PivotTable5"/>
    <pivotTable tabId="6" name="PivotTable4"/>
    <pivotTable tabId="9" name="PivotTable6"/>
  </pivotTables>
  <data>
    <tabular pivotCacheId="10203370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 xr10:uid="{B2F2A07B-724D-4CA0-9988-4786473692F9}" sourceName="Expect">
  <pivotTables>
    <pivotTable tabId="5" name="PivotTable3"/>
    <pivotTable tabId="3" name="PivotTable1"/>
    <pivotTable tabId="4" name="PivotTable2"/>
    <pivotTable tabId="7" name="PivotTable5"/>
    <pivotTable tabId="6" name="PivotTable4"/>
    <pivotTable tabId="9" name="PivotTable6"/>
  </pivotTables>
  <data>
    <tabular pivotCacheId="10203370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5C5D1DB-7A37-4628-AB8C-07B076AD960A}" cache="Slicer_Gender" caption="Gender" style="Slicer Style 2" rowHeight="241300"/>
  <slicer name="Age_Group" xr10:uid="{4ADC394F-D738-4135-8D25-EFFA082C22A6}" cache="Slicer_Age_Group" caption="Age_Group" style="Slicer Style 2" rowHeight="241300"/>
  <slicer name="Expect" xr10:uid="{F55B3130-F9EE-4EBE-9608-62E2D35A9506}" cache="Slicer_Expect" caption="Expect"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1C0AE7-AAD6-47E1-83AC-76164111834A}" name="Customers_Table" displayName="Customers_Table" ref="A1:Y41" totalsRowShown="0" headerRowDxfId="936">
  <autoFilter ref="A1:Y41" xr:uid="{D2B9AF54-C2FA-4A8E-B09D-6CDEB99398ED}"/>
  <tableColumns count="25">
    <tableColumn id="1" xr3:uid="{B79D2AE4-FEA9-4762-BC33-1B0EC1E40A8B}" name="Gender"/>
    <tableColumn id="2" xr3:uid="{17616669-9B7D-434E-BE67-CB22B4C73E74}" name="Age"/>
    <tableColumn id="3" xr3:uid="{144B2C1B-13FA-4B1B-9914-989AB7410B8F}" name="Age_Group">
      <calculatedColumnFormula>IF(AND(B2&gt;=21,B2&lt;=25),"Early Adulthood",IF(AND(B2&gt;=26,B2&lt;=30),"Established Adulthood",IF(AND(B2&gt;=31,B2&lt;=35),"Experienced Adulthood","Other")))</calculatedColumnFormula>
    </tableColumn>
    <tableColumn id="4" xr3:uid="{D6430186-49DF-4B0D-A83C-F114621CE7EA}" name="Investment_Avenues"/>
    <tableColumn id="5" xr3:uid="{CA3D544F-8EFE-4451-9765-D4E1341D60CD}" name="Mutual_Funds" dataDxfId="943"/>
    <tableColumn id="6" xr3:uid="{58D01513-A8F0-44CC-915C-571ED9D0CD62}" name="Equity_Market" dataDxfId="942"/>
    <tableColumn id="7" xr3:uid="{6A3F053D-FCF1-4A88-B368-DF939A6367FB}" name="Debentures" dataDxfId="941"/>
    <tableColumn id="8" xr3:uid="{E991CC14-A30E-4F5B-AFB3-AD46631EF454}" name="Government_Bonds" dataDxfId="940"/>
    <tableColumn id="9" xr3:uid="{D01127CA-31DA-41E7-B55F-0D34E83732D6}" name="Fixed_Deposits" dataDxfId="939"/>
    <tableColumn id="10" xr3:uid="{2B3B91DD-9BCA-4C98-892A-7473BF119CED}" name="PPF" dataDxfId="938"/>
    <tableColumn id="11" xr3:uid="{1D9A5B54-CEE3-4332-B6AE-2A318E12ABEB}" name="Gold" dataDxfId="937"/>
    <tableColumn id="12" xr3:uid="{0E8DB239-B142-431C-B872-640BA8FAE6C4}" name="Stock_Marktet"/>
    <tableColumn id="13" xr3:uid="{4B9C7815-5F76-4ABF-AF20-64415AF4F196}" name="Factor"/>
    <tableColumn id="14" xr3:uid="{9374D0CE-C60B-4DF9-BF1F-4A77E9DFEE3B}" name="Objective"/>
    <tableColumn id="15" xr3:uid="{D6756CEB-97AD-4DD8-A0C8-46B3FD660569}" name="Purpose"/>
    <tableColumn id="16" xr3:uid="{D9474199-9AC7-410D-937D-974BDED52125}" name="Duration"/>
    <tableColumn id="17" xr3:uid="{C7CB3BF8-9577-4A04-AA35-78CEC5C9544F}" name="Invest_Monitor"/>
    <tableColumn id="18" xr3:uid="{BB4AC81D-BF54-4B36-A4D4-61FB2D4445C2}" name="Expect"/>
    <tableColumn id="19" xr3:uid="{B383F0C2-BDAD-4DA0-9CB2-A829E11B2E1C}" name="Avenue"/>
    <tableColumn id="20" xr3:uid="{B05A3DFF-66D0-4D98-BAF4-C1CF78F982C0}" name="Savings_Objectives"/>
    <tableColumn id="21" xr3:uid="{E89813D7-4571-4A04-9DBC-DC75E27F88F3}" name="Reason_Equity"/>
    <tableColumn id="22" xr3:uid="{01FD0E78-F249-478E-8F95-A2FCC517C0A3}" name="Reason_Mutual"/>
    <tableColumn id="23" xr3:uid="{C6FC4CF2-3066-441D-9DB8-336BA6F68DB4}" name="Reason_Bonds"/>
    <tableColumn id="24" xr3:uid="{9635B487-CA58-4EFE-A893-2B1778A13873}" name="Reason_FD"/>
    <tableColumn id="25" xr3:uid="{D1F9587F-8548-4027-A36A-7024FFFA38AA}"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5E40C-D94B-4F89-96F8-52888C214794}">
  <dimension ref="A1:X41"/>
  <sheetViews>
    <sheetView topLeftCell="A2" workbookViewId="0">
      <selection activeCell="H26" sqref="H26"/>
    </sheetView>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row>
    <row r="3" spans="1:24" x14ac:dyDescent="0.25">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row>
    <row r="4" spans="1:24" x14ac:dyDescent="0.25">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row>
    <row r="5" spans="1:24" x14ac:dyDescent="0.25">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row>
    <row r="6" spans="1:24" x14ac:dyDescent="0.25">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row>
    <row r="7" spans="1:24" x14ac:dyDescent="0.25">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row>
    <row r="8" spans="1:24" x14ac:dyDescent="0.25">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row>
    <row r="9" spans="1:24" x14ac:dyDescent="0.25">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row>
    <row r="10" spans="1:24" x14ac:dyDescent="0.25">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row>
    <row r="11" spans="1:24" x14ac:dyDescent="0.25">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row>
    <row r="12" spans="1:24" x14ac:dyDescent="0.25">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row>
    <row r="13" spans="1:24" x14ac:dyDescent="0.25">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row>
    <row r="14" spans="1:24" x14ac:dyDescent="0.25">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row>
    <row r="15" spans="1:24" x14ac:dyDescent="0.25">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row>
    <row r="16" spans="1:24" x14ac:dyDescent="0.25">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row>
    <row r="17" spans="1:24" x14ac:dyDescent="0.25">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row>
    <row r="18" spans="1:24" x14ac:dyDescent="0.25">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row>
    <row r="19" spans="1:24" x14ac:dyDescent="0.25">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row>
    <row r="20" spans="1:24" x14ac:dyDescent="0.25">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row>
    <row r="21" spans="1:24" x14ac:dyDescent="0.25">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row>
    <row r="22" spans="1:24" x14ac:dyDescent="0.25">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row>
    <row r="23" spans="1:24" x14ac:dyDescent="0.25">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row>
    <row r="24" spans="1:24" x14ac:dyDescent="0.25">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row>
    <row r="25" spans="1:24" x14ac:dyDescent="0.25">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row>
    <row r="26" spans="1:24" x14ac:dyDescent="0.25">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row>
    <row r="27" spans="1:24" x14ac:dyDescent="0.25">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row>
    <row r="28" spans="1:24" x14ac:dyDescent="0.25">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row>
    <row r="29" spans="1:24" x14ac:dyDescent="0.25">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row>
    <row r="30" spans="1:24" x14ac:dyDescent="0.25">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row>
    <row r="31" spans="1:24" x14ac:dyDescent="0.25">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row>
    <row r="32" spans="1:24" x14ac:dyDescent="0.25">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row>
    <row r="33" spans="1:24" x14ac:dyDescent="0.25">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row>
    <row r="34" spans="1:24" x14ac:dyDescent="0.25">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row>
    <row r="35" spans="1:24" x14ac:dyDescent="0.25">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row>
    <row r="36" spans="1:24" x14ac:dyDescent="0.25">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row>
    <row r="37" spans="1:24" x14ac:dyDescent="0.25">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row>
    <row r="38" spans="1:24" x14ac:dyDescent="0.25">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row>
    <row r="39" spans="1:24" x14ac:dyDescent="0.25">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row>
    <row r="40" spans="1:24" x14ac:dyDescent="0.25">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row>
    <row r="41" spans="1:24" x14ac:dyDescent="0.25">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9AF54-C2FA-4A8E-B09D-6CDEB99398ED}">
  <dimension ref="A1:AA41"/>
  <sheetViews>
    <sheetView topLeftCell="A2" workbookViewId="0">
      <selection activeCell="U24" sqref="U24"/>
    </sheetView>
  </sheetViews>
  <sheetFormatPr defaultRowHeight="15" x14ac:dyDescent="0.25"/>
  <cols>
    <col min="1" max="1" width="9.85546875" customWidth="1"/>
    <col min="2" max="2" width="6.5703125" customWidth="1"/>
    <col min="3" max="3" width="22.28515625" bestFit="1" customWidth="1"/>
    <col min="4" max="4" width="22.42578125" bestFit="1" customWidth="1"/>
    <col min="5" max="5" width="16" style="3" bestFit="1" customWidth="1"/>
    <col min="6" max="6" width="16.28515625" style="3" bestFit="1" customWidth="1"/>
    <col min="7" max="7" width="13.7109375" style="3" bestFit="1" customWidth="1"/>
    <col min="8" max="8" width="21.140625" style="3" bestFit="1" customWidth="1"/>
    <col min="9" max="9" width="17" style="3" bestFit="1" customWidth="1"/>
    <col min="10" max="10" width="6.5703125" style="3" bestFit="1" customWidth="1"/>
    <col min="11" max="11" width="7.42578125" style="3" bestFit="1" customWidth="1"/>
    <col min="12" max="12" width="16.140625" bestFit="1" customWidth="1"/>
    <col min="13" max="13" width="14" bestFit="1" customWidth="1"/>
    <col min="14" max="14" width="19.28515625" bestFit="1" customWidth="1"/>
    <col min="15" max="15" width="17" bestFit="1" customWidth="1"/>
    <col min="16" max="16" width="16.85546875" bestFit="1" customWidth="1"/>
    <col min="17" max="17" width="17" bestFit="1" customWidth="1"/>
    <col min="18" max="18" width="10.5703125" customWidth="1"/>
    <col min="19" max="19" width="20.7109375" bestFit="1" customWidth="1"/>
    <col min="20" max="20" width="33.85546875" bestFit="1" customWidth="1"/>
    <col min="21" max="21" width="19.28515625" bestFit="1" customWidth="1"/>
    <col min="22" max="22" width="19" bestFit="1" customWidth="1"/>
    <col min="23" max="23" width="16.28515625" bestFit="1" customWidth="1"/>
    <col min="24" max="24" width="18" bestFit="1" customWidth="1"/>
    <col min="25" max="25" width="26" bestFit="1" customWidth="1"/>
  </cols>
  <sheetData>
    <row r="1" spans="1:27" x14ac:dyDescent="0.25">
      <c r="A1" s="1" t="s">
        <v>68</v>
      </c>
      <c r="B1" s="1" t="s">
        <v>69</v>
      </c>
      <c r="C1" s="1" t="s">
        <v>70</v>
      </c>
      <c r="D1" s="1" t="s">
        <v>2</v>
      </c>
      <c r="E1" s="2" t="s">
        <v>3</v>
      </c>
      <c r="F1" s="2" t="s">
        <v>4</v>
      </c>
      <c r="G1" s="2" t="s">
        <v>5</v>
      </c>
      <c r="H1" s="2" t="s">
        <v>6</v>
      </c>
      <c r="I1" s="2" t="s">
        <v>7</v>
      </c>
      <c r="J1" s="2" t="s">
        <v>8</v>
      </c>
      <c r="K1" s="2" t="s">
        <v>9</v>
      </c>
      <c r="L1" s="1" t="s">
        <v>10</v>
      </c>
      <c r="M1" s="1" t="s">
        <v>11</v>
      </c>
      <c r="N1" s="1" t="s">
        <v>12</v>
      </c>
      <c r="O1" s="1" t="s">
        <v>13</v>
      </c>
      <c r="P1" s="1" t="s">
        <v>14</v>
      </c>
      <c r="Q1" s="1" t="s">
        <v>15</v>
      </c>
      <c r="R1" s="1" t="s">
        <v>16</v>
      </c>
      <c r="S1" s="1" t="s">
        <v>17</v>
      </c>
      <c r="T1" s="1" t="s">
        <v>71</v>
      </c>
      <c r="U1" s="1" t="s">
        <v>19</v>
      </c>
      <c r="V1" s="1" t="s">
        <v>20</v>
      </c>
      <c r="W1" s="1" t="s">
        <v>21</v>
      </c>
      <c r="X1" s="1" t="s">
        <v>22</v>
      </c>
      <c r="Y1" s="1" t="s">
        <v>23</v>
      </c>
    </row>
    <row r="2" spans="1:27" x14ac:dyDescent="0.25">
      <c r="A2" t="s">
        <v>24</v>
      </c>
      <c r="B2">
        <v>34</v>
      </c>
      <c r="C2" t="str">
        <f>IF(AND(B2&gt;=21,B2&lt;=25),"Early Adulthood",IF(AND(B2&gt;=26,B2&lt;=30),"Established Adulthood",IF(AND(B2&gt;=31,B2&lt;=35),"Experienced Adulthood","Other")))</f>
        <v>Experienced Adulthood</v>
      </c>
      <c r="D2" t="s">
        <v>25</v>
      </c>
      <c r="E2" s="3">
        <v>1</v>
      </c>
      <c r="F2" s="3">
        <v>2</v>
      </c>
      <c r="G2" s="3">
        <v>5</v>
      </c>
      <c r="H2" s="3">
        <v>3</v>
      </c>
      <c r="I2" s="3">
        <v>7</v>
      </c>
      <c r="J2" s="3">
        <v>6</v>
      </c>
      <c r="K2" s="3">
        <v>4</v>
      </c>
      <c r="L2" t="s">
        <v>25</v>
      </c>
      <c r="M2" t="s">
        <v>26</v>
      </c>
      <c r="N2" t="s">
        <v>27</v>
      </c>
      <c r="O2" t="s">
        <v>28</v>
      </c>
      <c r="P2" t="s">
        <v>29</v>
      </c>
      <c r="Q2" t="s">
        <v>30</v>
      </c>
      <c r="R2" t="s">
        <v>31</v>
      </c>
      <c r="S2" t="s">
        <v>32</v>
      </c>
      <c r="T2" t="s">
        <v>33</v>
      </c>
      <c r="U2" t="s">
        <v>27</v>
      </c>
      <c r="V2" t="s">
        <v>34</v>
      </c>
      <c r="W2" t="s">
        <v>35</v>
      </c>
      <c r="X2" t="s">
        <v>36</v>
      </c>
      <c r="Y2" t="s">
        <v>37</v>
      </c>
    </row>
    <row r="3" spans="1:27" x14ac:dyDescent="0.25">
      <c r="A3" t="s">
        <v>24</v>
      </c>
      <c r="B3">
        <v>23</v>
      </c>
      <c r="C3" t="str">
        <f t="shared" ref="C3:C41" si="0">IF(AND(B3&gt;=21,B3&lt;=25),"Early Adulthood",IF(AND(B3&gt;=26,B3&lt;=30),"Established Adulthood",IF(AND(B3&gt;=31,B3&lt;=35),"Experienced Adulthood","Other")))</f>
        <v>Early Adulthood</v>
      </c>
      <c r="D3" t="s">
        <v>25</v>
      </c>
      <c r="E3" s="3">
        <v>4</v>
      </c>
      <c r="F3" s="3">
        <v>3</v>
      </c>
      <c r="G3" s="3">
        <v>2</v>
      </c>
      <c r="H3" s="3">
        <v>1</v>
      </c>
      <c r="I3" s="3">
        <v>5</v>
      </c>
      <c r="J3" s="3">
        <v>6</v>
      </c>
      <c r="K3" s="3">
        <v>7</v>
      </c>
      <c r="L3" t="s">
        <v>38</v>
      </c>
      <c r="M3" t="s">
        <v>39</v>
      </c>
      <c r="N3" t="s">
        <v>27</v>
      </c>
      <c r="O3" t="s">
        <v>28</v>
      </c>
      <c r="P3" t="s">
        <v>40</v>
      </c>
      <c r="Q3" t="s">
        <v>41</v>
      </c>
      <c r="R3" t="s">
        <v>31</v>
      </c>
      <c r="S3" t="s">
        <v>32</v>
      </c>
      <c r="T3" t="s">
        <v>42</v>
      </c>
      <c r="U3" t="s">
        <v>43</v>
      </c>
      <c r="V3" t="s">
        <v>34</v>
      </c>
      <c r="W3" t="s">
        <v>35</v>
      </c>
      <c r="X3" t="s">
        <v>44</v>
      </c>
      <c r="Y3" t="s">
        <v>45</v>
      </c>
    </row>
    <row r="4" spans="1:27" x14ac:dyDescent="0.25">
      <c r="A4" t="s">
        <v>46</v>
      </c>
      <c r="B4">
        <v>30</v>
      </c>
      <c r="C4" t="str">
        <f t="shared" si="0"/>
        <v>Established Adulthood</v>
      </c>
      <c r="D4" t="s">
        <v>25</v>
      </c>
      <c r="E4" s="3">
        <v>3</v>
      </c>
      <c r="F4" s="3">
        <v>6</v>
      </c>
      <c r="G4" s="3">
        <v>4</v>
      </c>
      <c r="H4" s="3">
        <v>2</v>
      </c>
      <c r="I4" s="3">
        <v>5</v>
      </c>
      <c r="J4" s="3">
        <v>1</v>
      </c>
      <c r="K4" s="3">
        <v>7</v>
      </c>
      <c r="L4" t="s">
        <v>25</v>
      </c>
      <c r="M4" t="s">
        <v>26</v>
      </c>
      <c r="N4" t="s">
        <v>27</v>
      </c>
      <c r="O4" t="s">
        <v>28</v>
      </c>
      <c r="P4" t="s">
        <v>47</v>
      </c>
      <c r="Q4" t="s">
        <v>48</v>
      </c>
      <c r="R4" t="s">
        <v>31</v>
      </c>
      <c r="S4" t="s">
        <v>49</v>
      </c>
      <c r="T4" t="s">
        <v>33</v>
      </c>
      <c r="U4" t="s">
        <v>27</v>
      </c>
      <c r="V4" t="s">
        <v>50</v>
      </c>
      <c r="W4" t="s">
        <v>51</v>
      </c>
      <c r="X4" t="s">
        <v>36</v>
      </c>
      <c r="Y4" t="s">
        <v>52</v>
      </c>
      <c r="AA4" s="9"/>
    </row>
    <row r="5" spans="1:27" x14ac:dyDescent="0.25">
      <c r="A5" t="s">
        <v>46</v>
      </c>
      <c r="B5">
        <v>22</v>
      </c>
      <c r="C5" t="str">
        <f t="shared" si="0"/>
        <v>Early Adulthood</v>
      </c>
      <c r="D5" t="s">
        <v>25</v>
      </c>
      <c r="E5" s="3">
        <v>2</v>
      </c>
      <c r="F5" s="3">
        <v>1</v>
      </c>
      <c r="G5" s="3">
        <v>3</v>
      </c>
      <c r="H5" s="3">
        <v>7</v>
      </c>
      <c r="I5" s="3">
        <v>6</v>
      </c>
      <c r="J5" s="3">
        <v>4</v>
      </c>
      <c r="K5" s="3">
        <v>5</v>
      </c>
      <c r="L5" t="s">
        <v>25</v>
      </c>
      <c r="M5" t="s">
        <v>26</v>
      </c>
      <c r="N5" t="s">
        <v>53</v>
      </c>
      <c r="O5" t="s">
        <v>28</v>
      </c>
      <c r="P5" t="s">
        <v>54</v>
      </c>
      <c r="Q5" t="s">
        <v>48</v>
      </c>
      <c r="R5" t="s">
        <v>55</v>
      </c>
      <c r="S5" t="s">
        <v>49</v>
      </c>
      <c r="T5" t="s">
        <v>33</v>
      </c>
      <c r="U5" t="s">
        <v>43</v>
      </c>
      <c r="V5" t="s">
        <v>56</v>
      </c>
      <c r="W5" t="s">
        <v>57</v>
      </c>
      <c r="X5" t="s">
        <v>44</v>
      </c>
      <c r="Y5" t="s">
        <v>58</v>
      </c>
    </row>
    <row r="6" spans="1:27" x14ac:dyDescent="0.25">
      <c r="A6" t="s">
        <v>24</v>
      </c>
      <c r="B6">
        <v>24</v>
      </c>
      <c r="C6" t="str">
        <f t="shared" si="0"/>
        <v>Early Adulthood</v>
      </c>
      <c r="D6" t="s">
        <v>38</v>
      </c>
      <c r="E6" s="3">
        <v>2</v>
      </c>
      <c r="F6" s="3">
        <v>1</v>
      </c>
      <c r="G6" s="3">
        <v>3</v>
      </c>
      <c r="H6" s="3">
        <v>6</v>
      </c>
      <c r="I6" s="3">
        <v>4</v>
      </c>
      <c r="J6" s="3">
        <v>5</v>
      </c>
      <c r="K6" s="3">
        <v>7</v>
      </c>
      <c r="L6" t="s">
        <v>38</v>
      </c>
      <c r="M6" t="s">
        <v>26</v>
      </c>
      <c r="N6" t="s">
        <v>53</v>
      </c>
      <c r="O6" t="s">
        <v>28</v>
      </c>
      <c r="P6" t="s">
        <v>54</v>
      </c>
      <c r="Q6" t="s">
        <v>48</v>
      </c>
      <c r="R6" t="s">
        <v>31</v>
      </c>
      <c r="S6" t="s">
        <v>49</v>
      </c>
      <c r="T6" t="s">
        <v>33</v>
      </c>
      <c r="U6" t="s">
        <v>27</v>
      </c>
      <c r="V6" t="s">
        <v>34</v>
      </c>
      <c r="W6" t="s">
        <v>35</v>
      </c>
      <c r="X6" t="s">
        <v>59</v>
      </c>
      <c r="Y6" t="s">
        <v>58</v>
      </c>
    </row>
    <row r="7" spans="1:27" x14ac:dyDescent="0.25">
      <c r="A7" t="s">
        <v>24</v>
      </c>
      <c r="B7">
        <v>24</v>
      </c>
      <c r="C7" t="str">
        <f t="shared" si="0"/>
        <v>Early Adulthood</v>
      </c>
      <c r="D7" t="s">
        <v>38</v>
      </c>
      <c r="E7" s="3">
        <v>7</v>
      </c>
      <c r="F7" s="3">
        <v>5</v>
      </c>
      <c r="G7" s="3">
        <v>4</v>
      </c>
      <c r="H7" s="3">
        <v>6</v>
      </c>
      <c r="I7" s="3">
        <v>3</v>
      </c>
      <c r="J7" s="3">
        <v>1</v>
      </c>
      <c r="K7" s="3">
        <v>2</v>
      </c>
      <c r="L7" t="s">
        <v>38</v>
      </c>
      <c r="M7" t="s">
        <v>60</v>
      </c>
      <c r="N7" t="s">
        <v>27</v>
      </c>
      <c r="O7" t="s">
        <v>28</v>
      </c>
      <c r="P7" t="s">
        <v>29</v>
      </c>
      <c r="Q7" t="s">
        <v>48</v>
      </c>
      <c r="R7" t="s">
        <v>61</v>
      </c>
      <c r="S7" t="s">
        <v>32</v>
      </c>
      <c r="T7" t="s">
        <v>33</v>
      </c>
      <c r="U7" t="s">
        <v>62</v>
      </c>
      <c r="V7" t="s">
        <v>56</v>
      </c>
      <c r="W7" t="s">
        <v>35</v>
      </c>
      <c r="X7" t="s">
        <v>59</v>
      </c>
      <c r="Y7" t="s">
        <v>58</v>
      </c>
      <c r="AA7" s="9"/>
    </row>
    <row r="8" spans="1:27" x14ac:dyDescent="0.25">
      <c r="A8" t="s">
        <v>24</v>
      </c>
      <c r="B8">
        <v>27</v>
      </c>
      <c r="C8" t="str">
        <f t="shared" si="0"/>
        <v>Established Adulthood</v>
      </c>
      <c r="D8" t="s">
        <v>25</v>
      </c>
      <c r="E8" s="3">
        <v>3</v>
      </c>
      <c r="F8" s="3">
        <v>6</v>
      </c>
      <c r="G8" s="3">
        <v>4</v>
      </c>
      <c r="H8" s="3">
        <v>2</v>
      </c>
      <c r="I8" s="3">
        <v>5</v>
      </c>
      <c r="J8" s="3">
        <v>1</v>
      </c>
      <c r="K8" s="3">
        <v>7</v>
      </c>
      <c r="L8" t="s">
        <v>25</v>
      </c>
      <c r="M8" t="s">
        <v>26</v>
      </c>
      <c r="N8" t="s">
        <v>27</v>
      </c>
      <c r="O8" t="s">
        <v>28</v>
      </c>
      <c r="P8" t="s">
        <v>47</v>
      </c>
      <c r="Q8" t="s">
        <v>30</v>
      </c>
      <c r="R8" t="s">
        <v>31</v>
      </c>
      <c r="S8" t="s">
        <v>49</v>
      </c>
      <c r="T8" t="s">
        <v>33</v>
      </c>
      <c r="U8" t="s">
        <v>27</v>
      </c>
      <c r="V8" t="s">
        <v>34</v>
      </c>
      <c r="W8" t="s">
        <v>51</v>
      </c>
      <c r="X8" t="s">
        <v>44</v>
      </c>
      <c r="Y8" t="s">
        <v>45</v>
      </c>
    </row>
    <row r="9" spans="1:27" x14ac:dyDescent="0.25">
      <c r="A9" t="s">
        <v>46</v>
      </c>
      <c r="B9">
        <v>21</v>
      </c>
      <c r="C9" t="str">
        <f t="shared" si="0"/>
        <v>Early Adulthood</v>
      </c>
      <c r="D9" t="s">
        <v>25</v>
      </c>
      <c r="E9" s="3">
        <v>2</v>
      </c>
      <c r="F9" s="3">
        <v>3</v>
      </c>
      <c r="G9" s="3">
        <v>7</v>
      </c>
      <c r="H9" s="3">
        <v>4</v>
      </c>
      <c r="I9" s="3">
        <v>6</v>
      </c>
      <c r="J9" s="3">
        <v>1</v>
      </c>
      <c r="K9" s="3">
        <v>5</v>
      </c>
      <c r="L9" t="s">
        <v>25</v>
      </c>
      <c r="M9" t="s">
        <v>60</v>
      </c>
      <c r="N9" t="s">
        <v>27</v>
      </c>
      <c r="O9" t="s">
        <v>28</v>
      </c>
      <c r="P9" t="s">
        <v>47</v>
      </c>
      <c r="Q9" t="s">
        <v>30</v>
      </c>
      <c r="R9" t="s">
        <v>31</v>
      </c>
      <c r="S9" t="s">
        <v>32</v>
      </c>
      <c r="T9" t="s">
        <v>33</v>
      </c>
      <c r="U9" t="s">
        <v>27</v>
      </c>
      <c r="V9" t="s">
        <v>34</v>
      </c>
      <c r="W9" t="s">
        <v>51</v>
      </c>
      <c r="X9" t="s">
        <v>59</v>
      </c>
      <c r="Y9" t="s">
        <v>37</v>
      </c>
    </row>
    <row r="10" spans="1:27" x14ac:dyDescent="0.25">
      <c r="A10" t="s">
        <v>46</v>
      </c>
      <c r="B10">
        <v>35</v>
      </c>
      <c r="C10" t="str">
        <f t="shared" si="0"/>
        <v>Experienced Adulthood</v>
      </c>
      <c r="D10" t="s">
        <v>25</v>
      </c>
      <c r="E10" s="3">
        <v>2</v>
      </c>
      <c r="F10" s="3">
        <v>4</v>
      </c>
      <c r="G10" s="3">
        <v>7</v>
      </c>
      <c r="H10" s="3">
        <v>5</v>
      </c>
      <c r="I10" s="3">
        <v>3</v>
      </c>
      <c r="J10" s="3">
        <v>1</v>
      </c>
      <c r="K10" s="3">
        <v>6</v>
      </c>
      <c r="L10" t="s">
        <v>25</v>
      </c>
      <c r="M10" t="s">
        <v>26</v>
      </c>
      <c r="N10" t="s">
        <v>63</v>
      </c>
      <c r="O10" t="s">
        <v>64</v>
      </c>
      <c r="P10" t="s">
        <v>29</v>
      </c>
      <c r="Q10" t="s">
        <v>41</v>
      </c>
      <c r="R10" t="s">
        <v>31</v>
      </c>
      <c r="S10" t="s">
        <v>49</v>
      </c>
      <c r="T10" t="s">
        <v>33</v>
      </c>
      <c r="U10" t="s">
        <v>27</v>
      </c>
      <c r="V10" t="s">
        <v>56</v>
      </c>
      <c r="W10" t="s">
        <v>35</v>
      </c>
      <c r="X10" t="s">
        <v>36</v>
      </c>
      <c r="Y10" t="s">
        <v>52</v>
      </c>
      <c r="AA10" s="9"/>
    </row>
    <row r="11" spans="1:27" x14ac:dyDescent="0.25">
      <c r="A11" t="s">
        <v>46</v>
      </c>
      <c r="B11">
        <v>31</v>
      </c>
      <c r="C11" t="str">
        <f t="shared" si="0"/>
        <v>Experienced Adulthood</v>
      </c>
      <c r="D11" t="s">
        <v>25</v>
      </c>
      <c r="E11" s="3">
        <v>1</v>
      </c>
      <c r="F11" s="3">
        <v>3</v>
      </c>
      <c r="G11" s="3">
        <v>7</v>
      </c>
      <c r="H11" s="3">
        <v>4</v>
      </c>
      <c r="I11" s="3">
        <v>5</v>
      </c>
      <c r="J11" s="3">
        <v>2</v>
      </c>
      <c r="K11" s="3">
        <v>6</v>
      </c>
      <c r="L11" t="s">
        <v>25</v>
      </c>
      <c r="M11" t="s">
        <v>26</v>
      </c>
      <c r="N11" t="s">
        <v>27</v>
      </c>
      <c r="O11" t="s">
        <v>28</v>
      </c>
      <c r="P11" t="s">
        <v>47</v>
      </c>
      <c r="Q11" t="s">
        <v>30</v>
      </c>
      <c r="R11" t="s">
        <v>61</v>
      </c>
      <c r="S11" t="s">
        <v>65</v>
      </c>
      <c r="T11" t="s">
        <v>33</v>
      </c>
      <c r="U11" t="s">
        <v>27</v>
      </c>
      <c r="V11" t="s">
        <v>56</v>
      </c>
      <c r="W11" t="s">
        <v>51</v>
      </c>
      <c r="X11" t="s">
        <v>36</v>
      </c>
      <c r="Y11" t="s">
        <v>37</v>
      </c>
    </row>
    <row r="12" spans="1:27" x14ac:dyDescent="0.25">
      <c r="A12" t="s">
        <v>24</v>
      </c>
      <c r="B12">
        <v>35</v>
      </c>
      <c r="C12" t="str">
        <f t="shared" si="0"/>
        <v>Experienced Adulthood</v>
      </c>
      <c r="D12" t="s">
        <v>25</v>
      </c>
      <c r="E12" s="3">
        <v>2</v>
      </c>
      <c r="F12" s="3">
        <v>4</v>
      </c>
      <c r="G12" s="3">
        <v>7</v>
      </c>
      <c r="H12" s="3">
        <v>5</v>
      </c>
      <c r="I12" s="3">
        <v>3</v>
      </c>
      <c r="J12" s="3">
        <v>1</v>
      </c>
      <c r="K12" s="3">
        <v>6</v>
      </c>
      <c r="L12" t="s">
        <v>25</v>
      </c>
      <c r="M12" t="s">
        <v>60</v>
      </c>
      <c r="N12" t="s">
        <v>63</v>
      </c>
      <c r="O12" t="s">
        <v>64</v>
      </c>
      <c r="P12" t="s">
        <v>47</v>
      </c>
      <c r="Q12" t="s">
        <v>30</v>
      </c>
      <c r="R12" t="s">
        <v>31</v>
      </c>
      <c r="S12" t="s">
        <v>32</v>
      </c>
      <c r="T12" t="s">
        <v>33</v>
      </c>
      <c r="U12" t="s">
        <v>27</v>
      </c>
      <c r="V12" t="s">
        <v>34</v>
      </c>
      <c r="W12" t="s">
        <v>51</v>
      </c>
      <c r="X12" t="s">
        <v>59</v>
      </c>
      <c r="Y12" t="s">
        <v>45</v>
      </c>
      <c r="AA12">
        <f>COUNTA(Customers_Table[Age_Group])</f>
        <v>40</v>
      </c>
    </row>
    <row r="13" spans="1:27" x14ac:dyDescent="0.25">
      <c r="A13" t="s">
        <v>46</v>
      </c>
      <c r="B13">
        <v>29</v>
      </c>
      <c r="C13" t="str">
        <f t="shared" si="0"/>
        <v>Established Adulthood</v>
      </c>
      <c r="D13" t="s">
        <v>25</v>
      </c>
      <c r="E13" s="3">
        <v>2</v>
      </c>
      <c r="F13" s="3">
        <v>5</v>
      </c>
      <c r="G13" s="3">
        <v>7</v>
      </c>
      <c r="H13" s="3">
        <v>6</v>
      </c>
      <c r="I13" s="3">
        <v>3</v>
      </c>
      <c r="J13" s="3">
        <v>1</v>
      </c>
      <c r="K13" s="3">
        <v>4</v>
      </c>
      <c r="L13" t="s">
        <v>25</v>
      </c>
      <c r="M13" t="s">
        <v>60</v>
      </c>
      <c r="N13" t="s">
        <v>27</v>
      </c>
      <c r="O13" t="s">
        <v>28</v>
      </c>
      <c r="P13" t="s">
        <v>29</v>
      </c>
      <c r="Q13" t="s">
        <v>30</v>
      </c>
      <c r="R13" t="s">
        <v>31</v>
      </c>
      <c r="S13" t="s">
        <v>32</v>
      </c>
      <c r="T13" t="s">
        <v>33</v>
      </c>
      <c r="U13" t="s">
        <v>27</v>
      </c>
      <c r="V13" t="s">
        <v>56</v>
      </c>
      <c r="W13" t="s">
        <v>51</v>
      </c>
      <c r="X13" t="s">
        <v>36</v>
      </c>
      <c r="Y13" t="s">
        <v>45</v>
      </c>
    </row>
    <row r="14" spans="1:27" x14ac:dyDescent="0.25">
      <c r="A14" t="s">
        <v>24</v>
      </c>
      <c r="B14">
        <v>21</v>
      </c>
      <c r="C14" t="str">
        <f t="shared" si="0"/>
        <v>Early Adulthood</v>
      </c>
      <c r="D14" t="s">
        <v>38</v>
      </c>
      <c r="E14" s="3">
        <v>1</v>
      </c>
      <c r="F14" s="3">
        <v>2</v>
      </c>
      <c r="G14" s="3">
        <v>3</v>
      </c>
      <c r="H14" s="3">
        <v>4</v>
      </c>
      <c r="I14" s="3">
        <v>5</v>
      </c>
      <c r="J14" s="3">
        <v>6</v>
      </c>
      <c r="K14" s="3">
        <v>7</v>
      </c>
      <c r="L14" t="s">
        <v>38</v>
      </c>
      <c r="M14" t="s">
        <v>26</v>
      </c>
      <c r="N14" t="s">
        <v>27</v>
      </c>
      <c r="O14" t="s">
        <v>64</v>
      </c>
      <c r="P14" t="s">
        <v>29</v>
      </c>
      <c r="Q14" t="s">
        <v>41</v>
      </c>
      <c r="R14" t="s">
        <v>31</v>
      </c>
      <c r="S14" t="s">
        <v>32</v>
      </c>
      <c r="T14" t="s">
        <v>66</v>
      </c>
      <c r="U14" t="s">
        <v>43</v>
      </c>
      <c r="V14" t="s">
        <v>34</v>
      </c>
      <c r="W14" t="s">
        <v>35</v>
      </c>
      <c r="X14" t="s">
        <v>59</v>
      </c>
      <c r="Y14" t="s">
        <v>58</v>
      </c>
      <c r="AA14">
        <f>COUNTIFS(Customers_Table[Age_Group], "Early Adulthood")</f>
        <v>10</v>
      </c>
    </row>
    <row r="15" spans="1:27" x14ac:dyDescent="0.25">
      <c r="A15" t="s">
        <v>24</v>
      </c>
      <c r="B15">
        <v>28</v>
      </c>
      <c r="C15" t="str">
        <f t="shared" si="0"/>
        <v>Established Adulthood</v>
      </c>
      <c r="D15" t="s">
        <v>25</v>
      </c>
      <c r="E15" s="3">
        <v>2</v>
      </c>
      <c r="F15" s="3">
        <v>3</v>
      </c>
      <c r="G15" s="3">
        <v>7</v>
      </c>
      <c r="H15" s="3">
        <v>4</v>
      </c>
      <c r="I15" s="3">
        <v>5</v>
      </c>
      <c r="J15" s="3">
        <v>1</v>
      </c>
      <c r="K15" s="3">
        <v>6</v>
      </c>
      <c r="L15" t="s">
        <v>25</v>
      </c>
      <c r="M15" t="s">
        <v>26</v>
      </c>
      <c r="N15" t="s">
        <v>27</v>
      </c>
      <c r="O15" t="s">
        <v>28</v>
      </c>
      <c r="P15" t="s">
        <v>29</v>
      </c>
      <c r="Q15" t="s">
        <v>30</v>
      </c>
      <c r="R15" t="s">
        <v>31</v>
      </c>
      <c r="S15" t="s">
        <v>32</v>
      </c>
      <c r="T15" t="s">
        <v>33</v>
      </c>
      <c r="U15" t="s">
        <v>27</v>
      </c>
      <c r="V15" t="s">
        <v>56</v>
      </c>
      <c r="W15" t="s">
        <v>51</v>
      </c>
      <c r="X15" t="s">
        <v>59</v>
      </c>
      <c r="Y15" t="s">
        <v>37</v>
      </c>
    </row>
    <row r="16" spans="1:27" x14ac:dyDescent="0.25">
      <c r="A16" t="s">
        <v>24</v>
      </c>
      <c r="B16">
        <v>25</v>
      </c>
      <c r="C16" t="str">
        <f t="shared" si="0"/>
        <v>Early Adulthood</v>
      </c>
      <c r="D16" t="s">
        <v>25</v>
      </c>
      <c r="E16" s="3">
        <v>2</v>
      </c>
      <c r="F16" s="3">
        <v>3</v>
      </c>
      <c r="G16" s="3">
        <v>7</v>
      </c>
      <c r="H16" s="3">
        <v>5</v>
      </c>
      <c r="I16" s="3">
        <v>4</v>
      </c>
      <c r="J16" s="3">
        <v>1</v>
      </c>
      <c r="K16" s="3">
        <v>6</v>
      </c>
      <c r="L16" t="s">
        <v>25</v>
      </c>
      <c r="M16" t="s">
        <v>26</v>
      </c>
      <c r="N16" t="s">
        <v>27</v>
      </c>
      <c r="O16" t="s">
        <v>28</v>
      </c>
      <c r="P16" t="s">
        <v>29</v>
      </c>
      <c r="Q16" t="s">
        <v>30</v>
      </c>
      <c r="R16" t="s">
        <v>31</v>
      </c>
      <c r="S16" t="s">
        <v>65</v>
      </c>
      <c r="T16" t="s">
        <v>42</v>
      </c>
      <c r="U16" t="s">
        <v>43</v>
      </c>
      <c r="V16" t="s">
        <v>34</v>
      </c>
      <c r="W16" t="s">
        <v>51</v>
      </c>
      <c r="X16" t="s">
        <v>59</v>
      </c>
      <c r="Y16" t="s">
        <v>45</v>
      </c>
      <c r="AA16">
        <f>COUNTIFS(Customers_Table[Savings_Objectives], "Retirement Plan")</f>
        <v>24</v>
      </c>
    </row>
    <row r="17" spans="1:27" x14ac:dyDescent="0.25">
      <c r="A17" t="s">
        <v>46</v>
      </c>
      <c r="B17">
        <v>27</v>
      </c>
      <c r="C17" t="str">
        <f t="shared" si="0"/>
        <v>Established Adulthood</v>
      </c>
      <c r="D17" t="s">
        <v>25</v>
      </c>
      <c r="E17" s="3">
        <v>2</v>
      </c>
      <c r="F17" s="3">
        <v>3</v>
      </c>
      <c r="G17" s="3">
        <v>7</v>
      </c>
      <c r="H17" s="3">
        <v>5</v>
      </c>
      <c r="I17" s="3">
        <v>4</v>
      </c>
      <c r="J17" s="3">
        <v>1</v>
      </c>
      <c r="K17" s="3">
        <v>6</v>
      </c>
      <c r="L17" t="s">
        <v>25</v>
      </c>
      <c r="M17" t="s">
        <v>26</v>
      </c>
      <c r="N17" t="s">
        <v>27</v>
      </c>
      <c r="O17" t="s">
        <v>28</v>
      </c>
      <c r="P17" t="s">
        <v>29</v>
      </c>
      <c r="Q17" t="s">
        <v>30</v>
      </c>
      <c r="R17" t="s">
        <v>31</v>
      </c>
      <c r="S17" t="s">
        <v>32</v>
      </c>
      <c r="T17" t="s">
        <v>42</v>
      </c>
      <c r="U17" t="s">
        <v>27</v>
      </c>
      <c r="V17" t="s">
        <v>56</v>
      </c>
      <c r="W17" t="s">
        <v>51</v>
      </c>
      <c r="X17" t="s">
        <v>59</v>
      </c>
      <c r="Y17" t="s">
        <v>37</v>
      </c>
    </row>
    <row r="18" spans="1:27" x14ac:dyDescent="0.25">
      <c r="A18" t="s">
        <v>24</v>
      </c>
      <c r="B18">
        <v>28</v>
      </c>
      <c r="C18" t="str">
        <f t="shared" si="0"/>
        <v>Established Adulthood</v>
      </c>
      <c r="D18" t="s">
        <v>25</v>
      </c>
      <c r="E18" s="3">
        <v>3</v>
      </c>
      <c r="F18" s="3">
        <v>2</v>
      </c>
      <c r="G18" s="3">
        <v>7</v>
      </c>
      <c r="H18" s="3">
        <v>5</v>
      </c>
      <c r="I18" s="3">
        <v>4</v>
      </c>
      <c r="J18" s="3">
        <v>1</v>
      </c>
      <c r="K18" s="3">
        <v>6</v>
      </c>
      <c r="L18" t="s">
        <v>25</v>
      </c>
      <c r="M18" t="s">
        <v>60</v>
      </c>
      <c r="N18" t="s">
        <v>63</v>
      </c>
      <c r="O18" t="s">
        <v>28</v>
      </c>
      <c r="P18" t="s">
        <v>29</v>
      </c>
      <c r="Q18" t="s">
        <v>30</v>
      </c>
      <c r="R18" t="s">
        <v>31</v>
      </c>
      <c r="S18" t="s">
        <v>65</v>
      </c>
      <c r="T18" t="s">
        <v>42</v>
      </c>
      <c r="U18" t="s">
        <v>27</v>
      </c>
      <c r="V18" t="s">
        <v>56</v>
      </c>
      <c r="W18" t="s">
        <v>51</v>
      </c>
      <c r="X18" t="s">
        <v>59</v>
      </c>
      <c r="Y18" t="s">
        <v>52</v>
      </c>
      <c r="AA18">
        <f>COUNTIFS(Customers_Table[Expect], "20%-30%")</f>
        <v>32</v>
      </c>
    </row>
    <row r="19" spans="1:27" x14ac:dyDescent="0.25">
      <c r="A19" t="s">
        <v>46</v>
      </c>
      <c r="B19">
        <v>27</v>
      </c>
      <c r="C19" t="str">
        <f t="shared" si="0"/>
        <v>Established Adulthood</v>
      </c>
      <c r="D19" t="s">
        <v>25</v>
      </c>
      <c r="E19" s="3">
        <v>3</v>
      </c>
      <c r="F19" s="3">
        <v>2</v>
      </c>
      <c r="G19" s="3">
        <v>7</v>
      </c>
      <c r="H19" s="3">
        <v>4</v>
      </c>
      <c r="I19" s="3">
        <v>5</v>
      </c>
      <c r="J19" s="3">
        <v>1</v>
      </c>
      <c r="K19" s="3">
        <v>6</v>
      </c>
      <c r="L19" t="s">
        <v>25</v>
      </c>
      <c r="M19" t="s">
        <v>26</v>
      </c>
      <c r="N19" t="s">
        <v>27</v>
      </c>
      <c r="O19" t="s">
        <v>28</v>
      </c>
      <c r="P19" t="s">
        <v>29</v>
      </c>
      <c r="Q19" t="s">
        <v>30</v>
      </c>
      <c r="R19" t="s">
        <v>31</v>
      </c>
      <c r="S19" t="s">
        <v>32</v>
      </c>
      <c r="T19" t="s">
        <v>33</v>
      </c>
      <c r="U19" t="s">
        <v>27</v>
      </c>
      <c r="V19" t="s">
        <v>34</v>
      </c>
      <c r="W19" t="s">
        <v>51</v>
      </c>
      <c r="X19" t="s">
        <v>59</v>
      </c>
      <c r="Y19" t="s">
        <v>45</v>
      </c>
    </row>
    <row r="20" spans="1:27" x14ac:dyDescent="0.25">
      <c r="A20" t="s">
        <v>46</v>
      </c>
      <c r="B20">
        <v>29</v>
      </c>
      <c r="C20" t="str">
        <f t="shared" si="0"/>
        <v>Established Adulthood</v>
      </c>
      <c r="D20" t="s">
        <v>25</v>
      </c>
      <c r="E20" s="3">
        <v>3</v>
      </c>
      <c r="F20" s="3">
        <v>2</v>
      </c>
      <c r="G20" s="3">
        <v>7</v>
      </c>
      <c r="H20" s="3">
        <v>4</v>
      </c>
      <c r="I20" s="3">
        <v>5</v>
      </c>
      <c r="J20" s="3">
        <v>1</v>
      </c>
      <c r="K20" s="3">
        <v>6</v>
      </c>
      <c r="L20" t="s">
        <v>25</v>
      </c>
      <c r="M20" t="s">
        <v>60</v>
      </c>
      <c r="N20" t="s">
        <v>27</v>
      </c>
      <c r="O20" t="s">
        <v>28</v>
      </c>
      <c r="P20" t="s">
        <v>29</v>
      </c>
      <c r="Q20" t="s">
        <v>30</v>
      </c>
      <c r="R20" t="s">
        <v>31</v>
      </c>
      <c r="S20" t="s">
        <v>32</v>
      </c>
      <c r="T20" t="s">
        <v>33</v>
      </c>
      <c r="U20" t="s">
        <v>27</v>
      </c>
      <c r="V20" t="s">
        <v>34</v>
      </c>
      <c r="W20" t="s">
        <v>51</v>
      </c>
      <c r="X20" t="s">
        <v>59</v>
      </c>
      <c r="Y20" t="s">
        <v>37</v>
      </c>
      <c r="AA20">
        <f>COUNTIFS(Customers_Table[Savings_Objectives], "Education")</f>
        <v>3</v>
      </c>
    </row>
    <row r="21" spans="1:27" x14ac:dyDescent="0.25">
      <c r="A21" t="s">
        <v>46</v>
      </c>
      <c r="B21">
        <v>26</v>
      </c>
      <c r="C21" t="str">
        <f t="shared" si="0"/>
        <v>Established Adulthood</v>
      </c>
      <c r="D21" t="s">
        <v>25</v>
      </c>
      <c r="E21" s="3">
        <v>3</v>
      </c>
      <c r="F21" s="3">
        <v>4</v>
      </c>
      <c r="G21" s="3">
        <v>6</v>
      </c>
      <c r="H21" s="3">
        <v>5</v>
      </c>
      <c r="I21" s="3">
        <v>1</v>
      </c>
      <c r="J21" s="3">
        <v>2</v>
      </c>
      <c r="K21" s="3">
        <v>7</v>
      </c>
      <c r="L21" t="s">
        <v>25</v>
      </c>
      <c r="M21" t="s">
        <v>60</v>
      </c>
      <c r="N21" t="s">
        <v>27</v>
      </c>
      <c r="O21" t="s">
        <v>28</v>
      </c>
      <c r="P21" t="s">
        <v>47</v>
      </c>
      <c r="Q21" t="s">
        <v>30</v>
      </c>
      <c r="R21" t="s">
        <v>31</v>
      </c>
      <c r="S21" t="s">
        <v>65</v>
      </c>
      <c r="T21" t="s">
        <v>42</v>
      </c>
      <c r="U21" t="s">
        <v>27</v>
      </c>
      <c r="V21" t="s">
        <v>56</v>
      </c>
      <c r="W21" t="s">
        <v>51</v>
      </c>
      <c r="X21" t="s">
        <v>59</v>
      </c>
      <c r="Y21" t="s">
        <v>37</v>
      </c>
    </row>
    <row r="22" spans="1:27" x14ac:dyDescent="0.25">
      <c r="A22" t="s">
        <v>46</v>
      </c>
      <c r="B22">
        <v>29</v>
      </c>
      <c r="C22" t="str">
        <f t="shared" si="0"/>
        <v>Established Adulthood</v>
      </c>
      <c r="D22" t="s">
        <v>25</v>
      </c>
      <c r="E22" s="3">
        <v>2</v>
      </c>
      <c r="F22" s="3">
        <v>4</v>
      </c>
      <c r="G22" s="3">
        <v>7</v>
      </c>
      <c r="H22" s="3">
        <v>5</v>
      </c>
      <c r="I22" s="3">
        <v>3</v>
      </c>
      <c r="J22" s="3">
        <v>1</v>
      </c>
      <c r="K22" s="3">
        <v>6</v>
      </c>
      <c r="L22" t="s">
        <v>25</v>
      </c>
      <c r="M22" t="s">
        <v>26</v>
      </c>
      <c r="N22" t="s">
        <v>63</v>
      </c>
      <c r="O22" t="s">
        <v>28</v>
      </c>
      <c r="P22" t="s">
        <v>47</v>
      </c>
      <c r="Q22" t="s">
        <v>41</v>
      </c>
      <c r="R22" t="s">
        <v>31</v>
      </c>
      <c r="S22" t="s">
        <v>32</v>
      </c>
      <c r="T22" t="s">
        <v>33</v>
      </c>
      <c r="U22" t="s">
        <v>27</v>
      </c>
      <c r="V22" t="s">
        <v>34</v>
      </c>
      <c r="W22" t="s">
        <v>51</v>
      </c>
      <c r="X22" t="s">
        <v>36</v>
      </c>
      <c r="Y22" t="s">
        <v>45</v>
      </c>
    </row>
    <row r="23" spans="1:27" x14ac:dyDescent="0.25">
      <c r="A23" t="s">
        <v>24</v>
      </c>
      <c r="B23">
        <v>24</v>
      </c>
      <c r="C23" t="str">
        <f t="shared" si="0"/>
        <v>Early Adulthood</v>
      </c>
      <c r="D23" t="s">
        <v>25</v>
      </c>
      <c r="E23" s="3">
        <v>2</v>
      </c>
      <c r="F23" s="3">
        <v>4</v>
      </c>
      <c r="G23" s="3">
        <v>5</v>
      </c>
      <c r="H23" s="3">
        <v>6</v>
      </c>
      <c r="I23" s="3">
        <v>3</v>
      </c>
      <c r="J23" s="3">
        <v>1</v>
      </c>
      <c r="K23" s="3">
        <v>7</v>
      </c>
      <c r="L23" t="s">
        <v>25</v>
      </c>
      <c r="M23" t="s">
        <v>60</v>
      </c>
      <c r="N23" t="s">
        <v>27</v>
      </c>
      <c r="O23" t="s">
        <v>28</v>
      </c>
      <c r="P23" t="s">
        <v>47</v>
      </c>
      <c r="Q23" t="s">
        <v>30</v>
      </c>
      <c r="R23" t="s">
        <v>31</v>
      </c>
      <c r="S23" t="s">
        <v>49</v>
      </c>
      <c r="T23" t="s">
        <v>42</v>
      </c>
      <c r="U23" t="s">
        <v>27</v>
      </c>
      <c r="V23" t="s">
        <v>34</v>
      </c>
      <c r="W23" t="s">
        <v>51</v>
      </c>
      <c r="X23" t="s">
        <v>59</v>
      </c>
      <c r="Y23" t="s">
        <v>37</v>
      </c>
    </row>
    <row r="24" spans="1:27" x14ac:dyDescent="0.25">
      <c r="A24" t="s">
        <v>46</v>
      </c>
      <c r="B24">
        <v>27</v>
      </c>
      <c r="C24" t="str">
        <f t="shared" si="0"/>
        <v>Established Adulthood</v>
      </c>
      <c r="D24" t="s">
        <v>25</v>
      </c>
      <c r="E24" s="3">
        <v>3</v>
      </c>
      <c r="F24" s="3">
        <v>4</v>
      </c>
      <c r="G24" s="3">
        <v>6</v>
      </c>
      <c r="H24" s="3">
        <v>5</v>
      </c>
      <c r="I24" s="3">
        <v>2</v>
      </c>
      <c r="J24" s="3">
        <v>1</v>
      </c>
      <c r="K24" s="3">
        <v>7</v>
      </c>
      <c r="L24" t="s">
        <v>25</v>
      </c>
      <c r="M24" t="s">
        <v>26</v>
      </c>
      <c r="N24" t="s">
        <v>27</v>
      </c>
      <c r="O24" t="s">
        <v>28</v>
      </c>
      <c r="P24" t="s">
        <v>47</v>
      </c>
      <c r="Q24" t="s">
        <v>30</v>
      </c>
      <c r="R24" t="s">
        <v>31</v>
      </c>
      <c r="S24" t="s">
        <v>32</v>
      </c>
      <c r="T24" t="s">
        <v>33</v>
      </c>
      <c r="U24" t="s">
        <v>27</v>
      </c>
      <c r="V24" t="s">
        <v>34</v>
      </c>
      <c r="W24" t="s">
        <v>51</v>
      </c>
      <c r="X24" t="s">
        <v>59</v>
      </c>
      <c r="Y24" t="s">
        <v>45</v>
      </c>
    </row>
    <row r="25" spans="1:27" x14ac:dyDescent="0.25">
      <c r="A25" t="s">
        <v>46</v>
      </c>
      <c r="B25">
        <v>25</v>
      </c>
      <c r="C25" t="str">
        <f t="shared" si="0"/>
        <v>Early Adulthood</v>
      </c>
      <c r="D25" t="s">
        <v>25</v>
      </c>
      <c r="E25" s="3">
        <v>2</v>
      </c>
      <c r="F25" s="3">
        <v>4</v>
      </c>
      <c r="G25" s="3">
        <v>6</v>
      </c>
      <c r="H25" s="3">
        <v>5</v>
      </c>
      <c r="I25" s="3">
        <v>3</v>
      </c>
      <c r="J25" s="3">
        <v>1</v>
      </c>
      <c r="K25" s="3">
        <v>7</v>
      </c>
      <c r="L25" t="s">
        <v>25</v>
      </c>
      <c r="M25" t="s">
        <v>60</v>
      </c>
      <c r="N25" t="s">
        <v>63</v>
      </c>
      <c r="O25" t="s">
        <v>64</v>
      </c>
      <c r="P25" t="s">
        <v>47</v>
      </c>
      <c r="Q25" t="s">
        <v>41</v>
      </c>
      <c r="R25" t="s">
        <v>31</v>
      </c>
      <c r="S25" t="s">
        <v>67</v>
      </c>
      <c r="T25" t="s">
        <v>42</v>
      </c>
      <c r="U25" t="s">
        <v>62</v>
      </c>
      <c r="V25" t="s">
        <v>34</v>
      </c>
      <c r="W25" t="s">
        <v>51</v>
      </c>
      <c r="X25" t="s">
        <v>59</v>
      </c>
      <c r="Y25" t="s">
        <v>45</v>
      </c>
    </row>
    <row r="26" spans="1:27" x14ac:dyDescent="0.25">
      <c r="A26" t="s">
        <v>24</v>
      </c>
      <c r="B26">
        <v>26</v>
      </c>
      <c r="C26" t="str">
        <f t="shared" si="0"/>
        <v>Established Adulthood</v>
      </c>
      <c r="D26" t="s">
        <v>25</v>
      </c>
      <c r="E26" s="3">
        <v>2</v>
      </c>
      <c r="F26" s="3">
        <v>3</v>
      </c>
      <c r="G26" s="3">
        <v>7</v>
      </c>
      <c r="H26" s="3">
        <v>5</v>
      </c>
      <c r="I26" s="3">
        <v>4</v>
      </c>
      <c r="J26" s="3">
        <v>1</v>
      </c>
      <c r="K26" s="3">
        <v>6</v>
      </c>
      <c r="L26" t="s">
        <v>25</v>
      </c>
      <c r="M26" t="s">
        <v>26</v>
      </c>
      <c r="N26" t="s">
        <v>27</v>
      </c>
      <c r="O26" t="s">
        <v>28</v>
      </c>
      <c r="P26" t="s">
        <v>47</v>
      </c>
      <c r="Q26" t="s">
        <v>30</v>
      </c>
      <c r="R26" t="s">
        <v>61</v>
      </c>
      <c r="S26" t="s">
        <v>67</v>
      </c>
      <c r="T26" t="s">
        <v>33</v>
      </c>
      <c r="U26" t="s">
        <v>27</v>
      </c>
      <c r="V26" t="s">
        <v>34</v>
      </c>
      <c r="W26" t="s">
        <v>51</v>
      </c>
      <c r="X26" t="s">
        <v>59</v>
      </c>
      <c r="Y26" t="s">
        <v>37</v>
      </c>
    </row>
    <row r="27" spans="1:27" x14ac:dyDescent="0.25">
      <c r="A27" t="s">
        <v>24</v>
      </c>
      <c r="B27">
        <v>32</v>
      </c>
      <c r="C27" t="str">
        <f t="shared" si="0"/>
        <v>Experienced Adulthood</v>
      </c>
      <c r="D27" t="s">
        <v>25</v>
      </c>
      <c r="E27" s="3">
        <v>3</v>
      </c>
      <c r="F27" s="3">
        <v>4</v>
      </c>
      <c r="G27" s="3">
        <v>7</v>
      </c>
      <c r="H27" s="3">
        <v>5</v>
      </c>
      <c r="I27" s="3">
        <v>1</v>
      </c>
      <c r="J27" s="3">
        <v>2</v>
      </c>
      <c r="K27" s="3">
        <v>6</v>
      </c>
      <c r="L27" t="s">
        <v>25</v>
      </c>
      <c r="M27" t="s">
        <v>60</v>
      </c>
      <c r="N27" t="s">
        <v>63</v>
      </c>
      <c r="O27" t="s">
        <v>28</v>
      </c>
      <c r="P27" t="s">
        <v>47</v>
      </c>
      <c r="Q27" t="s">
        <v>30</v>
      </c>
      <c r="R27" t="s">
        <v>31</v>
      </c>
      <c r="S27" t="s">
        <v>32</v>
      </c>
      <c r="T27" t="s">
        <v>33</v>
      </c>
      <c r="U27" t="s">
        <v>27</v>
      </c>
      <c r="V27" t="s">
        <v>34</v>
      </c>
      <c r="W27" t="s">
        <v>51</v>
      </c>
      <c r="X27" t="s">
        <v>36</v>
      </c>
      <c r="Y27" t="s">
        <v>45</v>
      </c>
    </row>
    <row r="28" spans="1:27" x14ac:dyDescent="0.25">
      <c r="A28" t="s">
        <v>46</v>
      </c>
      <c r="B28">
        <v>26</v>
      </c>
      <c r="C28" t="str">
        <f t="shared" si="0"/>
        <v>Established Adulthood</v>
      </c>
      <c r="D28" t="s">
        <v>25</v>
      </c>
      <c r="E28" s="3">
        <v>3</v>
      </c>
      <c r="F28" s="3">
        <v>4</v>
      </c>
      <c r="G28" s="3">
        <v>6</v>
      </c>
      <c r="H28" s="3">
        <v>5</v>
      </c>
      <c r="I28" s="3">
        <v>1</v>
      </c>
      <c r="J28" s="3">
        <v>2</v>
      </c>
      <c r="K28" s="3">
        <v>7</v>
      </c>
      <c r="L28" t="s">
        <v>25</v>
      </c>
      <c r="M28" t="s">
        <v>26</v>
      </c>
      <c r="N28" t="s">
        <v>27</v>
      </c>
      <c r="O28" t="s">
        <v>28</v>
      </c>
      <c r="P28" t="s">
        <v>47</v>
      </c>
      <c r="Q28" t="s">
        <v>30</v>
      </c>
      <c r="R28" t="s">
        <v>31</v>
      </c>
      <c r="S28" t="s">
        <v>32</v>
      </c>
      <c r="T28" t="s">
        <v>33</v>
      </c>
      <c r="U28" t="s">
        <v>43</v>
      </c>
      <c r="V28" t="s">
        <v>56</v>
      </c>
      <c r="W28" t="s">
        <v>51</v>
      </c>
      <c r="X28" t="s">
        <v>36</v>
      </c>
      <c r="Y28" t="s">
        <v>45</v>
      </c>
    </row>
    <row r="29" spans="1:27" x14ac:dyDescent="0.25">
      <c r="A29" t="s">
        <v>46</v>
      </c>
      <c r="B29">
        <v>31</v>
      </c>
      <c r="C29" t="str">
        <f t="shared" si="0"/>
        <v>Experienced Adulthood</v>
      </c>
      <c r="D29" t="s">
        <v>25</v>
      </c>
      <c r="E29" s="3">
        <v>2</v>
      </c>
      <c r="F29" s="3">
        <v>3</v>
      </c>
      <c r="G29" s="3">
        <v>7</v>
      </c>
      <c r="H29" s="3">
        <v>6</v>
      </c>
      <c r="I29" s="3">
        <v>4</v>
      </c>
      <c r="J29" s="3">
        <v>1</v>
      </c>
      <c r="K29" s="3">
        <v>5</v>
      </c>
      <c r="L29" t="s">
        <v>25</v>
      </c>
      <c r="M29" t="s">
        <v>60</v>
      </c>
      <c r="N29" t="s">
        <v>63</v>
      </c>
      <c r="O29" t="s">
        <v>64</v>
      </c>
      <c r="P29" t="s">
        <v>29</v>
      </c>
      <c r="Q29" t="s">
        <v>30</v>
      </c>
      <c r="R29" t="s">
        <v>31</v>
      </c>
      <c r="S29" t="s">
        <v>65</v>
      </c>
      <c r="T29" t="s">
        <v>42</v>
      </c>
      <c r="U29" t="s">
        <v>27</v>
      </c>
      <c r="V29" t="s">
        <v>56</v>
      </c>
      <c r="W29" t="s">
        <v>35</v>
      </c>
      <c r="X29" t="s">
        <v>36</v>
      </c>
      <c r="Y29" t="s">
        <v>52</v>
      </c>
    </row>
    <row r="30" spans="1:27" x14ac:dyDescent="0.25">
      <c r="A30" t="s">
        <v>46</v>
      </c>
      <c r="B30">
        <v>29</v>
      </c>
      <c r="C30" t="str">
        <f t="shared" si="0"/>
        <v>Established Adulthood</v>
      </c>
      <c r="D30" t="s">
        <v>25</v>
      </c>
      <c r="E30" s="3">
        <v>2</v>
      </c>
      <c r="F30" s="3">
        <v>3</v>
      </c>
      <c r="G30" s="3">
        <v>6</v>
      </c>
      <c r="H30" s="3">
        <v>5</v>
      </c>
      <c r="I30" s="3">
        <v>1</v>
      </c>
      <c r="J30" s="3">
        <v>4</v>
      </c>
      <c r="K30" s="3">
        <v>7</v>
      </c>
      <c r="L30" t="s">
        <v>25</v>
      </c>
      <c r="M30" t="s">
        <v>26</v>
      </c>
      <c r="N30" t="s">
        <v>27</v>
      </c>
      <c r="O30" t="s">
        <v>28</v>
      </c>
      <c r="P30" t="s">
        <v>29</v>
      </c>
      <c r="Q30" t="s">
        <v>30</v>
      </c>
      <c r="R30" t="s">
        <v>31</v>
      </c>
      <c r="S30" t="s">
        <v>49</v>
      </c>
      <c r="T30" t="s">
        <v>33</v>
      </c>
      <c r="U30" t="s">
        <v>27</v>
      </c>
      <c r="V30" t="s">
        <v>34</v>
      </c>
      <c r="W30" t="s">
        <v>51</v>
      </c>
      <c r="X30" t="s">
        <v>59</v>
      </c>
      <c r="Y30" t="s">
        <v>52</v>
      </c>
    </row>
    <row r="31" spans="1:27" x14ac:dyDescent="0.25">
      <c r="A31" t="s">
        <v>24</v>
      </c>
      <c r="B31">
        <v>34</v>
      </c>
      <c r="C31" t="str">
        <f t="shared" si="0"/>
        <v>Experienced Adulthood</v>
      </c>
      <c r="D31" t="s">
        <v>25</v>
      </c>
      <c r="E31" s="3">
        <v>5</v>
      </c>
      <c r="F31" s="3">
        <v>4</v>
      </c>
      <c r="G31" s="3">
        <v>3</v>
      </c>
      <c r="H31" s="3">
        <v>2</v>
      </c>
      <c r="I31" s="3">
        <v>7</v>
      </c>
      <c r="J31" s="3">
        <v>1</v>
      </c>
      <c r="K31" s="3">
        <v>6</v>
      </c>
      <c r="L31" t="s">
        <v>25</v>
      </c>
      <c r="M31" t="s">
        <v>26</v>
      </c>
      <c r="N31" t="s">
        <v>53</v>
      </c>
      <c r="O31" t="s">
        <v>26</v>
      </c>
      <c r="P31" t="s">
        <v>47</v>
      </c>
      <c r="Q31" t="s">
        <v>30</v>
      </c>
      <c r="R31" t="s">
        <v>55</v>
      </c>
      <c r="S31" t="s">
        <v>32</v>
      </c>
      <c r="T31" t="s">
        <v>33</v>
      </c>
      <c r="U31" t="s">
        <v>27</v>
      </c>
      <c r="V31" t="s">
        <v>50</v>
      </c>
      <c r="W31" t="s">
        <v>35</v>
      </c>
      <c r="X31" t="s">
        <v>36</v>
      </c>
      <c r="Y31" t="s">
        <v>37</v>
      </c>
    </row>
    <row r="32" spans="1:27" x14ac:dyDescent="0.25">
      <c r="A32" t="s">
        <v>46</v>
      </c>
      <c r="B32">
        <v>27</v>
      </c>
      <c r="C32" t="str">
        <f t="shared" si="0"/>
        <v>Established Adulthood</v>
      </c>
      <c r="D32" t="s">
        <v>25</v>
      </c>
      <c r="E32" s="3">
        <v>4</v>
      </c>
      <c r="F32" s="3">
        <v>5</v>
      </c>
      <c r="G32" s="3">
        <v>1</v>
      </c>
      <c r="H32" s="3">
        <v>2</v>
      </c>
      <c r="I32" s="3">
        <v>7</v>
      </c>
      <c r="J32" s="3">
        <v>3</v>
      </c>
      <c r="K32" s="3">
        <v>6</v>
      </c>
      <c r="L32" t="s">
        <v>38</v>
      </c>
      <c r="M32" t="s">
        <v>26</v>
      </c>
      <c r="N32" t="s">
        <v>63</v>
      </c>
      <c r="O32" t="s">
        <v>28</v>
      </c>
      <c r="P32" t="s">
        <v>29</v>
      </c>
      <c r="Q32" t="s">
        <v>30</v>
      </c>
      <c r="R32" t="s">
        <v>55</v>
      </c>
      <c r="S32" t="s">
        <v>32</v>
      </c>
      <c r="T32" t="s">
        <v>66</v>
      </c>
      <c r="U32" t="s">
        <v>27</v>
      </c>
      <c r="V32" t="s">
        <v>50</v>
      </c>
      <c r="W32" t="s">
        <v>35</v>
      </c>
      <c r="X32" t="s">
        <v>36</v>
      </c>
      <c r="Y32" t="s">
        <v>52</v>
      </c>
    </row>
    <row r="33" spans="1:25" x14ac:dyDescent="0.25">
      <c r="A33" t="s">
        <v>24</v>
      </c>
      <c r="B33">
        <v>31</v>
      </c>
      <c r="C33" t="str">
        <f t="shared" si="0"/>
        <v>Experienced Adulthood</v>
      </c>
      <c r="D33" t="s">
        <v>25</v>
      </c>
      <c r="E33" s="3">
        <v>2</v>
      </c>
      <c r="F33" s="3">
        <v>4</v>
      </c>
      <c r="G33" s="3">
        <v>7</v>
      </c>
      <c r="H33" s="3">
        <v>6</v>
      </c>
      <c r="I33" s="3">
        <v>3</v>
      </c>
      <c r="J33" s="3">
        <v>1</v>
      </c>
      <c r="K33" s="3">
        <v>5</v>
      </c>
      <c r="L33" t="s">
        <v>25</v>
      </c>
      <c r="M33" t="s">
        <v>26</v>
      </c>
      <c r="N33" t="s">
        <v>27</v>
      </c>
      <c r="O33" t="s">
        <v>28</v>
      </c>
      <c r="P33" t="s">
        <v>47</v>
      </c>
      <c r="Q33" t="s">
        <v>30</v>
      </c>
      <c r="R33" t="s">
        <v>31</v>
      </c>
      <c r="S33" t="s">
        <v>65</v>
      </c>
      <c r="T33" t="s">
        <v>33</v>
      </c>
      <c r="U33" t="s">
        <v>27</v>
      </c>
      <c r="V33" t="s">
        <v>34</v>
      </c>
      <c r="W33" t="s">
        <v>51</v>
      </c>
      <c r="X33" t="s">
        <v>36</v>
      </c>
      <c r="Y33" t="s">
        <v>45</v>
      </c>
    </row>
    <row r="34" spans="1:25" x14ac:dyDescent="0.25">
      <c r="A34" t="s">
        <v>46</v>
      </c>
      <c r="B34">
        <v>27</v>
      </c>
      <c r="C34" t="str">
        <f t="shared" si="0"/>
        <v>Established Adulthood</v>
      </c>
      <c r="D34" t="s">
        <v>25</v>
      </c>
      <c r="E34" s="3">
        <v>2</v>
      </c>
      <c r="F34" s="3">
        <v>4</v>
      </c>
      <c r="G34" s="3">
        <v>7</v>
      </c>
      <c r="H34" s="3">
        <v>5</v>
      </c>
      <c r="I34" s="3">
        <v>1</v>
      </c>
      <c r="J34" s="3">
        <v>3</v>
      </c>
      <c r="K34" s="3">
        <v>6</v>
      </c>
      <c r="L34" t="s">
        <v>25</v>
      </c>
      <c r="M34" t="s">
        <v>26</v>
      </c>
      <c r="N34" t="s">
        <v>27</v>
      </c>
      <c r="O34" t="s">
        <v>28</v>
      </c>
      <c r="P34" t="s">
        <v>47</v>
      </c>
      <c r="Q34" t="s">
        <v>30</v>
      </c>
      <c r="R34" t="s">
        <v>61</v>
      </c>
      <c r="S34" t="s">
        <v>49</v>
      </c>
      <c r="T34" t="s">
        <v>42</v>
      </c>
      <c r="U34" t="s">
        <v>27</v>
      </c>
      <c r="V34" t="s">
        <v>56</v>
      </c>
      <c r="W34" t="s">
        <v>51</v>
      </c>
      <c r="X34" t="s">
        <v>36</v>
      </c>
      <c r="Y34" t="s">
        <v>37</v>
      </c>
    </row>
    <row r="35" spans="1:25" x14ac:dyDescent="0.25">
      <c r="A35" t="s">
        <v>46</v>
      </c>
      <c r="B35">
        <v>26</v>
      </c>
      <c r="C35" t="str">
        <f t="shared" si="0"/>
        <v>Established Adulthood</v>
      </c>
      <c r="D35" t="s">
        <v>25</v>
      </c>
      <c r="E35" s="3">
        <v>2</v>
      </c>
      <c r="F35" s="3">
        <v>3</v>
      </c>
      <c r="G35" s="3">
        <v>6</v>
      </c>
      <c r="H35" s="3">
        <v>4</v>
      </c>
      <c r="I35" s="3">
        <v>1</v>
      </c>
      <c r="J35" s="3">
        <v>5</v>
      </c>
      <c r="K35" s="3">
        <v>7</v>
      </c>
      <c r="L35" t="s">
        <v>25</v>
      </c>
      <c r="M35" t="s">
        <v>26</v>
      </c>
      <c r="N35" t="s">
        <v>27</v>
      </c>
      <c r="O35" t="s">
        <v>26</v>
      </c>
      <c r="P35" t="s">
        <v>29</v>
      </c>
      <c r="Q35" t="s">
        <v>30</v>
      </c>
      <c r="R35" t="s">
        <v>31</v>
      </c>
      <c r="S35" t="s">
        <v>65</v>
      </c>
      <c r="T35" t="s">
        <v>66</v>
      </c>
      <c r="U35" t="s">
        <v>43</v>
      </c>
      <c r="V35" t="s">
        <v>34</v>
      </c>
      <c r="W35" t="s">
        <v>35</v>
      </c>
      <c r="X35" t="s">
        <v>59</v>
      </c>
      <c r="Y35" t="s">
        <v>37</v>
      </c>
    </row>
    <row r="36" spans="1:25" x14ac:dyDescent="0.25">
      <c r="A36" t="s">
        <v>46</v>
      </c>
      <c r="B36">
        <v>27</v>
      </c>
      <c r="C36" t="str">
        <f t="shared" si="0"/>
        <v>Established Adulthood</v>
      </c>
      <c r="D36" t="s">
        <v>25</v>
      </c>
      <c r="E36" s="3">
        <v>2</v>
      </c>
      <c r="F36" s="3">
        <v>3</v>
      </c>
      <c r="G36" s="3">
        <v>6</v>
      </c>
      <c r="H36" s="3">
        <v>5</v>
      </c>
      <c r="I36" s="3">
        <v>4</v>
      </c>
      <c r="J36" s="3">
        <v>1</v>
      </c>
      <c r="K36" s="3">
        <v>7</v>
      </c>
      <c r="L36" t="s">
        <v>25</v>
      </c>
      <c r="M36" t="s">
        <v>26</v>
      </c>
      <c r="N36" t="s">
        <v>27</v>
      </c>
      <c r="O36" t="s">
        <v>28</v>
      </c>
      <c r="P36" t="s">
        <v>29</v>
      </c>
      <c r="Q36" t="s">
        <v>41</v>
      </c>
      <c r="R36" t="s">
        <v>31</v>
      </c>
      <c r="S36" t="s">
        <v>32</v>
      </c>
      <c r="T36" t="s">
        <v>42</v>
      </c>
      <c r="U36" t="s">
        <v>27</v>
      </c>
      <c r="V36" t="s">
        <v>34</v>
      </c>
      <c r="W36" t="s">
        <v>35</v>
      </c>
      <c r="X36" t="s">
        <v>36</v>
      </c>
      <c r="Y36" t="s">
        <v>45</v>
      </c>
    </row>
    <row r="37" spans="1:25" x14ac:dyDescent="0.25">
      <c r="A37" t="s">
        <v>46</v>
      </c>
      <c r="B37">
        <v>30</v>
      </c>
      <c r="C37" t="str">
        <f t="shared" si="0"/>
        <v>Established Adulthood</v>
      </c>
      <c r="D37" t="s">
        <v>25</v>
      </c>
      <c r="E37" s="3">
        <v>1</v>
      </c>
      <c r="F37" s="3">
        <v>4</v>
      </c>
      <c r="G37" s="3">
        <v>6</v>
      </c>
      <c r="H37" s="3">
        <v>5</v>
      </c>
      <c r="I37" s="3">
        <v>3</v>
      </c>
      <c r="J37" s="3">
        <v>2</v>
      </c>
      <c r="K37" s="3">
        <v>7</v>
      </c>
      <c r="L37" t="s">
        <v>25</v>
      </c>
      <c r="M37" t="s">
        <v>60</v>
      </c>
      <c r="N37" t="s">
        <v>63</v>
      </c>
      <c r="O37" t="s">
        <v>28</v>
      </c>
      <c r="P37" t="s">
        <v>47</v>
      </c>
      <c r="Q37" t="s">
        <v>30</v>
      </c>
      <c r="R37" t="s">
        <v>31</v>
      </c>
      <c r="S37" t="s">
        <v>65</v>
      </c>
      <c r="T37" t="s">
        <v>42</v>
      </c>
      <c r="U37" t="s">
        <v>27</v>
      </c>
      <c r="V37" t="s">
        <v>34</v>
      </c>
      <c r="W37" t="s">
        <v>51</v>
      </c>
      <c r="X37" t="s">
        <v>36</v>
      </c>
      <c r="Y37" t="s">
        <v>45</v>
      </c>
    </row>
    <row r="38" spans="1:25" x14ac:dyDescent="0.25">
      <c r="A38" t="s">
        <v>46</v>
      </c>
      <c r="B38">
        <v>30</v>
      </c>
      <c r="C38" t="str">
        <f t="shared" si="0"/>
        <v>Established Adulthood</v>
      </c>
      <c r="D38" t="s">
        <v>25</v>
      </c>
      <c r="E38" s="3">
        <v>2</v>
      </c>
      <c r="F38" s="3">
        <v>4</v>
      </c>
      <c r="G38" s="3">
        <v>7</v>
      </c>
      <c r="H38" s="3">
        <v>5</v>
      </c>
      <c r="I38" s="3">
        <v>1</v>
      </c>
      <c r="J38" s="3">
        <v>3</v>
      </c>
      <c r="K38" s="3">
        <v>6</v>
      </c>
      <c r="L38" t="s">
        <v>25</v>
      </c>
      <c r="M38" t="s">
        <v>26</v>
      </c>
      <c r="N38" t="s">
        <v>27</v>
      </c>
      <c r="O38" t="s">
        <v>28</v>
      </c>
      <c r="P38" t="s">
        <v>29</v>
      </c>
      <c r="Q38" t="s">
        <v>30</v>
      </c>
      <c r="R38" t="s">
        <v>31</v>
      </c>
      <c r="S38" t="s">
        <v>49</v>
      </c>
      <c r="T38" t="s">
        <v>33</v>
      </c>
      <c r="U38" t="s">
        <v>27</v>
      </c>
      <c r="V38" t="s">
        <v>34</v>
      </c>
      <c r="W38" t="s">
        <v>51</v>
      </c>
      <c r="X38" t="s">
        <v>59</v>
      </c>
      <c r="Y38" t="s">
        <v>37</v>
      </c>
    </row>
    <row r="39" spans="1:25" x14ac:dyDescent="0.25">
      <c r="A39" t="s">
        <v>46</v>
      </c>
      <c r="B39">
        <v>25</v>
      </c>
      <c r="C39" t="str">
        <f t="shared" si="0"/>
        <v>Early Adulthood</v>
      </c>
      <c r="D39" t="s">
        <v>25</v>
      </c>
      <c r="E39" s="3">
        <v>5</v>
      </c>
      <c r="F39" s="3">
        <v>4</v>
      </c>
      <c r="G39" s="3">
        <v>7</v>
      </c>
      <c r="H39" s="3">
        <v>6</v>
      </c>
      <c r="I39" s="3">
        <v>1</v>
      </c>
      <c r="J39" s="3">
        <v>2</v>
      </c>
      <c r="K39" s="3">
        <v>3</v>
      </c>
      <c r="L39" t="s">
        <v>25</v>
      </c>
      <c r="M39" t="s">
        <v>60</v>
      </c>
      <c r="N39" t="s">
        <v>63</v>
      </c>
      <c r="O39" t="s">
        <v>64</v>
      </c>
      <c r="P39" t="s">
        <v>47</v>
      </c>
      <c r="Q39" t="s">
        <v>30</v>
      </c>
      <c r="R39" t="s">
        <v>61</v>
      </c>
      <c r="S39" t="s">
        <v>67</v>
      </c>
      <c r="T39" t="s">
        <v>42</v>
      </c>
      <c r="U39" t="s">
        <v>27</v>
      </c>
      <c r="V39" t="s">
        <v>34</v>
      </c>
      <c r="W39" t="s">
        <v>35</v>
      </c>
      <c r="X39" t="s">
        <v>36</v>
      </c>
      <c r="Y39" t="s">
        <v>45</v>
      </c>
    </row>
    <row r="40" spans="1:25" x14ac:dyDescent="0.25">
      <c r="A40" t="s">
        <v>46</v>
      </c>
      <c r="B40">
        <v>31</v>
      </c>
      <c r="C40" t="str">
        <f t="shared" si="0"/>
        <v>Experienced Adulthood</v>
      </c>
      <c r="D40" t="s">
        <v>25</v>
      </c>
      <c r="E40" s="3">
        <v>2</v>
      </c>
      <c r="F40" s="3">
        <v>4</v>
      </c>
      <c r="G40" s="3">
        <v>7</v>
      </c>
      <c r="H40" s="3">
        <v>5</v>
      </c>
      <c r="I40" s="3">
        <v>3</v>
      </c>
      <c r="J40" s="3">
        <v>1</v>
      </c>
      <c r="K40" s="3">
        <v>6</v>
      </c>
      <c r="L40" t="s">
        <v>25</v>
      </c>
      <c r="M40" t="s">
        <v>60</v>
      </c>
      <c r="N40" t="s">
        <v>63</v>
      </c>
      <c r="O40" t="s">
        <v>28</v>
      </c>
      <c r="P40" t="s">
        <v>29</v>
      </c>
      <c r="Q40" t="s">
        <v>41</v>
      </c>
      <c r="R40" t="s">
        <v>31</v>
      </c>
      <c r="S40" t="s">
        <v>49</v>
      </c>
      <c r="T40" t="s">
        <v>42</v>
      </c>
      <c r="U40" t="s">
        <v>43</v>
      </c>
      <c r="V40" t="s">
        <v>56</v>
      </c>
      <c r="W40" t="s">
        <v>51</v>
      </c>
      <c r="X40" t="s">
        <v>36</v>
      </c>
      <c r="Y40" t="s">
        <v>37</v>
      </c>
    </row>
    <row r="41" spans="1:25" x14ac:dyDescent="0.25">
      <c r="A41" t="s">
        <v>46</v>
      </c>
      <c r="B41">
        <v>29</v>
      </c>
      <c r="C41" t="str">
        <f t="shared" si="0"/>
        <v>Established Adulthood</v>
      </c>
      <c r="D41" t="s">
        <v>25</v>
      </c>
      <c r="E41" s="3">
        <v>4</v>
      </c>
      <c r="F41" s="3">
        <v>3</v>
      </c>
      <c r="G41" s="3">
        <v>5</v>
      </c>
      <c r="H41" s="3">
        <v>7</v>
      </c>
      <c r="I41" s="3">
        <v>2</v>
      </c>
      <c r="J41" s="3">
        <v>1</v>
      </c>
      <c r="K41" s="3">
        <v>6</v>
      </c>
      <c r="L41" t="s">
        <v>25</v>
      </c>
      <c r="M41" t="s">
        <v>26</v>
      </c>
      <c r="N41" t="s">
        <v>27</v>
      </c>
      <c r="O41" t="s">
        <v>28</v>
      </c>
      <c r="P41" t="s">
        <v>47</v>
      </c>
      <c r="Q41" t="s">
        <v>30</v>
      </c>
      <c r="R41" t="s">
        <v>31</v>
      </c>
      <c r="S41" t="s">
        <v>65</v>
      </c>
      <c r="T41" t="s">
        <v>33</v>
      </c>
      <c r="U41" t="s">
        <v>43</v>
      </c>
      <c r="V41" t="s">
        <v>34</v>
      </c>
      <c r="W41" t="s">
        <v>35</v>
      </c>
      <c r="X41" t="s">
        <v>36</v>
      </c>
      <c r="Y41"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DA40-1703-4C91-9299-ED6EBE2D099B}">
  <dimension ref="A3:D9"/>
  <sheetViews>
    <sheetView workbookViewId="0">
      <selection activeCell="B15" sqref="B15"/>
    </sheetView>
  </sheetViews>
  <sheetFormatPr defaultRowHeight="15" x14ac:dyDescent="0.25"/>
  <cols>
    <col min="1" max="1" width="18.42578125" bestFit="1" customWidth="1"/>
    <col min="2" max="2" width="14.5703125" bestFit="1" customWidth="1"/>
    <col min="3" max="3" width="4.85546875" bestFit="1" customWidth="1"/>
    <col min="4" max="4" width="10.140625" bestFit="1" customWidth="1"/>
  </cols>
  <sheetData>
    <row r="3" spans="1:4" x14ac:dyDescent="0.25">
      <c r="A3" s="4" t="s">
        <v>73</v>
      </c>
      <c r="B3" s="4" t="s">
        <v>74</v>
      </c>
      <c r="C3" s="5"/>
      <c r="D3" s="5"/>
    </row>
    <row r="4" spans="1:4" x14ac:dyDescent="0.25">
      <c r="A4" s="4" t="s">
        <v>17</v>
      </c>
      <c r="B4" s="5" t="s">
        <v>24</v>
      </c>
      <c r="C4" s="5" t="s">
        <v>46</v>
      </c>
      <c r="D4" s="5" t="s">
        <v>72</v>
      </c>
    </row>
    <row r="5" spans="1:4" x14ac:dyDescent="0.25">
      <c r="A5" s="6" t="s">
        <v>49</v>
      </c>
      <c r="B5" s="7">
        <v>3</v>
      </c>
      <c r="C5" s="7">
        <v>7</v>
      </c>
      <c r="D5" s="7">
        <v>10</v>
      </c>
    </row>
    <row r="6" spans="1:4" x14ac:dyDescent="0.25">
      <c r="A6" s="6" t="s">
        <v>65</v>
      </c>
      <c r="B6" s="7">
        <v>3</v>
      </c>
      <c r="C6" s="7">
        <v>6</v>
      </c>
      <c r="D6" s="7">
        <v>9</v>
      </c>
    </row>
    <row r="7" spans="1:4" x14ac:dyDescent="0.25">
      <c r="A7" s="6" t="s">
        <v>32</v>
      </c>
      <c r="B7" s="7">
        <v>8</v>
      </c>
      <c r="C7" s="7">
        <v>10</v>
      </c>
      <c r="D7" s="7">
        <v>18</v>
      </c>
    </row>
    <row r="8" spans="1:4" x14ac:dyDescent="0.25">
      <c r="A8" s="6" t="s">
        <v>67</v>
      </c>
      <c r="B8" s="7">
        <v>1</v>
      </c>
      <c r="C8" s="7">
        <v>2</v>
      </c>
      <c r="D8" s="7">
        <v>3</v>
      </c>
    </row>
    <row r="9" spans="1:4" x14ac:dyDescent="0.25">
      <c r="A9" s="6" t="s">
        <v>72</v>
      </c>
      <c r="B9" s="7">
        <v>15</v>
      </c>
      <c r="C9" s="7">
        <v>25</v>
      </c>
      <c r="D9" s="7">
        <v>40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AC855-D3B5-4783-A9F3-9B823F7968B0}">
  <dimension ref="A3:B7"/>
  <sheetViews>
    <sheetView workbookViewId="0">
      <selection activeCell="B21" sqref="B21"/>
    </sheetView>
  </sheetViews>
  <sheetFormatPr defaultRowHeight="15" x14ac:dyDescent="0.25"/>
  <cols>
    <col min="1" max="1" width="20" bestFit="1" customWidth="1"/>
    <col min="2" max="2" width="14.28515625" bestFit="1" customWidth="1"/>
  </cols>
  <sheetData>
    <row r="3" spans="1:2" x14ac:dyDescent="0.25">
      <c r="A3" s="4" t="s">
        <v>78</v>
      </c>
      <c r="B3" s="5" t="s">
        <v>73</v>
      </c>
    </row>
    <row r="4" spans="1:2" x14ac:dyDescent="0.25">
      <c r="A4" s="6" t="s">
        <v>75</v>
      </c>
      <c r="B4" s="7">
        <v>10</v>
      </c>
    </row>
    <row r="5" spans="1:2" x14ac:dyDescent="0.25">
      <c r="A5" s="6" t="s">
        <v>76</v>
      </c>
      <c r="B5" s="7">
        <v>21</v>
      </c>
    </row>
    <row r="6" spans="1:2" x14ac:dyDescent="0.25">
      <c r="A6" s="6" t="s">
        <v>77</v>
      </c>
      <c r="B6" s="7">
        <v>9</v>
      </c>
    </row>
    <row r="7" spans="1:2" x14ac:dyDescent="0.25">
      <c r="A7" s="6" t="s">
        <v>72</v>
      </c>
      <c r="B7" s="7">
        <v>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3132-9B6C-4622-917F-EDD648B7D26C}">
  <dimension ref="A3:E8"/>
  <sheetViews>
    <sheetView workbookViewId="0">
      <selection activeCell="I22" sqref="I22"/>
    </sheetView>
  </sheetViews>
  <sheetFormatPr defaultRowHeight="15" x14ac:dyDescent="0.25"/>
  <cols>
    <col min="1" max="1" width="20" bestFit="1" customWidth="1"/>
    <col min="2" max="2" width="14.5703125" bestFit="1" customWidth="1"/>
    <col min="3" max="3" width="7.28515625" bestFit="1" customWidth="1"/>
    <col min="4" max="4" width="4.28515625" bestFit="1" customWidth="1"/>
    <col min="5" max="5" width="10.140625" bestFit="1" customWidth="1"/>
  </cols>
  <sheetData>
    <row r="3" spans="1:5" x14ac:dyDescent="0.25">
      <c r="A3" s="4" t="s">
        <v>79</v>
      </c>
      <c r="B3" s="4" t="s">
        <v>74</v>
      </c>
      <c r="C3" s="5"/>
      <c r="D3" s="5"/>
      <c r="E3" s="5"/>
    </row>
    <row r="4" spans="1:5" x14ac:dyDescent="0.25">
      <c r="A4" s="4" t="s">
        <v>78</v>
      </c>
      <c r="B4" s="5" t="s">
        <v>39</v>
      </c>
      <c r="C4" s="5" t="s">
        <v>26</v>
      </c>
      <c r="D4" s="5" t="s">
        <v>60</v>
      </c>
      <c r="E4" s="5" t="s">
        <v>72</v>
      </c>
    </row>
    <row r="5" spans="1:5" x14ac:dyDescent="0.25">
      <c r="A5" s="6" t="s">
        <v>75</v>
      </c>
      <c r="B5" s="7">
        <v>1</v>
      </c>
      <c r="C5" s="7">
        <v>4</v>
      </c>
      <c r="D5" s="7">
        <v>5</v>
      </c>
      <c r="E5" s="7">
        <v>10</v>
      </c>
    </row>
    <row r="6" spans="1:5" x14ac:dyDescent="0.25">
      <c r="A6" s="6" t="s">
        <v>76</v>
      </c>
      <c r="B6" s="7"/>
      <c r="C6" s="7">
        <v>16</v>
      </c>
      <c r="D6" s="7">
        <v>5</v>
      </c>
      <c r="E6" s="7">
        <v>21</v>
      </c>
    </row>
    <row r="7" spans="1:5" x14ac:dyDescent="0.25">
      <c r="A7" s="6" t="s">
        <v>77</v>
      </c>
      <c r="B7" s="7"/>
      <c r="C7" s="7">
        <v>5</v>
      </c>
      <c r="D7" s="7">
        <v>4</v>
      </c>
      <c r="E7" s="7">
        <v>9</v>
      </c>
    </row>
    <row r="8" spans="1:5" x14ac:dyDescent="0.25">
      <c r="A8" s="6" t="s">
        <v>72</v>
      </c>
      <c r="B8" s="7">
        <v>1</v>
      </c>
      <c r="C8" s="7">
        <v>25</v>
      </c>
      <c r="D8" s="7">
        <v>14</v>
      </c>
      <c r="E8" s="7">
        <v>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7A35E-00B1-4F2C-B615-4C2982AAC822}">
  <dimension ref="A3:E9"/>
  <sheetViews>
    <sheetView workbookViewId="0">
      <selection activeCell="L15" sqref="L15"/>
    </sheetView>
  </sheetViews>
  <sheetFormatPr defaultRowHeight="15" x14ac:dyDescent="0.25"/>
  <cols>
    <col min="1" max="1" width="23.85546875" bestFit="1" customWidth="1"/>
    <col min="2" max="2" width="14.5703125" bestFit="1" customWidth="1"/>
    <col min="3" max="3" width="10.28515625" bestFit="1" customWidth="1"/>
    <col min="4" max="4" width="14.140625" bestFit="1" customWidth="1"/>
    <col min="5" max="5" width="10.140625" bestFit="1" customWidth="1"/>
  </cols>
  <sheetData>
    <row r="3" spans="1:5" x14ac:dyDescent="0.25">
      <c r="A3" s="4" t="s">
        <v>80</v>
      </c>
      <c r="B3" s="4" t="s">
        <v>74</v>
      </c>
      <c r="C3" s="5"/>
      <c r="D3" s="5"/>
      <c r="E3" s="5"/>
    </row>
    <row r="4" spans="1:5" x14ac:dyDescent="0.25">
      <c r="A4" s="4" t="s">
        <v>14</v>
      </c>
      <c r="B4" s="5" t="s">
        <v>66</v>
      </c>
      <c r="C4" s="5" t="s">
        <v>42</v>
      </c>
      <c r="D4" s="5" t="s">
        <v>33</v>
      </c>
      <c r="E4" s="5" t="s">
        <v>72</v>
      </c>
    </row>
    <row r="5" spans="1:5" x14ac:dyDescent="0.25">
      <c r="A5" s="6" t="s">
        <v>29</v>
      </c>
      <c r="B5" s="7">
        <v>3</v>
      </c>
      <c r="C5" s="7">
        <v>6</v>
      </c>
      <c r="D5" s="7">
        <v>9</v>
      </c>
      <c r="E5" s="7">
        <v>18</v>
      </c>
    </row>
    <row r="6" spans="1:5" x14ac:dyDescent="0.25">
      <c r="A6" s="6" t="s">
        <v>47</v>
      </c>
      <c r="B6" s="7"/>
      <c r="C6" s="7">
        <v>6</v>
      </c>
      <c r="D6" s="7">
        <v>13</v>
      </c>
      <c r="E6" s="7">
        <v>19</v>
      </c>
    </row>
    <row r="7" spans="1:5" x14ac:dyDescent="0.25">
      <c r="A7" s="6" t="s">
        <v>54</v>
      </c>
      <c r="B7" s="7"/>
      <c r="C7" s="7"/>
      <c r="D7" s="7">
        <v>2</v>
      </c>
      <c r="E7" s="7">
        <v>2</v>
      </c>
    </row>
    <row r="8" spans="1:5" x14ac:dyDescent="0.25">
      <c r="A8" s="6" t="s">
        <v>40</v>
      </c>
      <c r="B8" s="7"/>
      <c r="C8" s="7">
        <v>1</v>
      </c>
      <c r="D8" s="7"/>
      <c r="E8" s="7">
        <v>1</v>
      </c>
    </row>
    <row r="9" spans="1:5" x14ac:dyDescent="0.25">
      <c r="A9" s="6" t="s">
        <v>72</v>
      </c>
      <c r="B9" s="7">
        <v>3</v>
      </c>
      <c r="C9" s="7">
        <v>13</v>
      </c>
      <c r="D9" s="7">
        <v>24</v>
      </c>
      <c r="E9" s="7">
        <v>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958EB-D667-4AB2-8588-B47A98A94EF2}">
  <dimension ref="A1:E8"/>
  <sheetViews>
    <sheetView workbookViewId="0">
      <selection activeCell="C21" sqref="C21"/>
    </sheetView>
  </sheetViews>
  <sheetFormatPr defaultRowHeight="15" x14ac:dyDescent="0.25"/>
  <cols>
    <col min="1" max="1" width="20.85546875" bestFit="1" customWidth="1"/>
    <col min="2" max="2" width="14.5703125" bestFit="1" customWidth="1"/>
    <col min="3" max="3" width="16.7109375" bestFit="1" customWidth="1"/>
    <col min="4" max="4" width="11" bestFit="1" customWidth="1"/>
    <col min="5" max="5" width="10.140625" bestFit="1" customWidth="1"/>
  </cols>
  <sheetData>
    <row r="1" spans="1:5" x14ac:dyDescent="0.25">
      <c r="A1" s="4" t="s">
        <v>17</v>
      </c>
      <c r="B1" s="5" t="s">
        <v>32</v>
      </c>
    </row>
    <row r="3" spans="1:5" x14ac:dyDescent="0.25">
      <c r="A3" s="4" t="s">
        <v>81</v>
      </c>
      <c r="B3" s="4" t="s">
        <v>74</v>
      </c>
      <c r="C3" s="5"/>
      <c r="D3" s="5"/>
      <c r="E3" s="5"/>
    </row>
    <row r="4" spans="1:5" x14ac:dyDescent="0.25">
      <c r="A4" s="4" t="s">
        <v>82</v>
      </c>
      <c r="B4" s="5" t="s">
        <v>34</v>
      </c>
      <c r="C4" s="5" t="s">
        <v>56</v>
      </c>
      <c r="D4" s="5" t="s">
        <v>50</v>
      </c>
      <c r="E4" s="5" t="s">
        <v>72</v>
      </c>
    </row>
    <row r="5" spans="1:5" x14ac:dyDescent="0.25">
      <c r="A5" s="6" t="s">
        <v>55</v>
      </c>
      <c r="B5" s="7"/>
      <c r="C5" s="7"/>
      <c r="D5" s="7">
        <v>2</v>
      </c>
      <c r="E5" s="7">
        <v>2</v>
      </c>
    </row>
    <row r="6" spans="1:5" x14ac:dyDescent="0.25">
      <c r="A6" s="6" t="s">
        <v>31</v>
      </c>
      <c r="B6" s="7">
        <v>11</v>
      </c>
      <c r="C6" s="7">
        <v>4</v>
      </c>
      <c r="D6" s="7"/>
      <c r="E6" s="7">
        <v>15</v>
      </c>
    </row>
    <row r="7" spans="1:5" x14ac:dyDescent="0.25">
      <c r="A7" s="6" t="s">
        <v>61</v>
      </c>
      <c r="B7" s="7"/>
      <c r="C7" s="7">
        <v>1</v>
      </c>
      <c r="D7" s="7"/>
      <c r="E7" s="7">
        <v>1</v>
      </c>
    </row>
    <row r="8" spans="1:5" x14ac:dyDescent="0.25">
      <c r="A8" s="6" t="s">
        <v>72</v>
      </c>
      <c r="B8" s="7">
        <v>11</v>
      </c>
      <c r="C8" s="7">
        <v>5</v>
      </c>
      <c r="D8" s="7">
        <v>2</v>
      </c>
      <c r="E8" s="7">
        <v>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7BA73-82B7-4B4F-B527-625579B6A5B8}">
  <dimension ref="A3:E8"/>
  <sheetViews>
    <sheetView workbookViewId="0">
      <selection activeCell="H16" sqref="H16"/>
    </sheetView>
  </sheetViews>
  <sheetFormatPr defaultRowHeight="15" x14ac:dyDescent="0.25"/>
  <cols>
    <col min="1" max="1" width="23.85546875" bestFit="1" customWidth="1"/>
    <col min="2" max="2" width="14.5703125" bestFit="1" customWidth="1"/>
    <col min="3" max="3" width="10.28515625" bestFit="1" customWidth="1"/>
    <col min="4" max="4" width="14.140625" bestFit="1" customWidth="1"/>
    <col min="5" max="5" width="10.140625" bestFit="1" customWidth="1"/>
  </cols>
  <sheetData>
    <row r="3" spans="1:5" x14ac:dyDescent="0.25">
      <c r="A3" s="4" t="s">
        <v>80</v>
      </c>
      <c r="B3" s="4" t="s">
        <v>74</v>
      </c>
      <c r="C3" s="5"/>
      <c r="D3" s="5"/>
      <c r="E3" s="5"/>
    </row>
    <row r="4" spans="1:5" x14ac:dyDescent="0.25">
      <c r="A4" s="4" t="s">
        <v>82</v>
      </c>
      <c r="B4" s="5" t="s">
        <v>66</v>
      </c>
      <c r="C4" s="5" t="s">
        <v>42</v>
      </c>
      <c r="D4" s="5" t="s">
        <v>33</v>
      </c>
      <c r="E4" s="5" t="s">
        <v>72</v>
      </c>
    </row>
    <row r="5" spans="1:5" x14ac:dyDescent="0.25">
      <c r="A5" s="6" t="s">
        <v>55</v>
      </c>
      <c r="B5" s="7">
        <v>1</v>
      </c>
      <c r="C5" s="7"/>
      <c r="D5" s="7">
        <v>2</v>
      </c>
      <c r="E5" s="7">
        <v>3</v>
      </c>
    </row>
    <row r="6" spans="1:5" x14ac:dyDescent="0.25">
      <c r="A6" s="6" t="s">
        <v>31</v>
      </c>
      <c r="B6" s="7">
        <v>2</v>
      </c>
      <c r="C6" s="7">
        <v>11</v>
      </c>
      <c r="D6" s="7">
        <v>19</v>
      </c>
      <c r="E6" s="7">
        <v>32</v>
      </c>
    </row>
    <row r="7" spans="1:5" x14ac:dyDescent="0.25">
      <c r="A7" s="6" t="s">
        <v>61</v>
      </c>
      <c r="B7" s="7"/>
      <c r="C7" s="7">
        <v>2</v>
      </c>
      <c r="D7" s="7">
        <v>3</v>
      </c>
      <c r="E7" s="7">
        <v>5</v>
      </c>
    </row>
    <row r="8" spans="1:5" x14ac:dyDescent="0.25">
      <c r="A8" s="6" t="s">
        <v>72</v>
      </c>
      <c r="B8" s="7">
        <v>3</v>
      </c>
      <c r="C8" s="7">
        <v>13</v>
      </c>
      <c r="D8" s="7">
        <v>24</v>
      </c>
      <c r="E8" s="7">
        <v>40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763B-527F-4043-924E-A94DC468E37D}">
  <dimension ref="A1:AB60"/>
  <sheetViews>
    <sheetView tabSelected="1" workbookViewId="0">
      <selection activeCell="T2" sqref="T2"/>
    </sheetView>
  </sheetViews>
  <sheetFormatPr defaultRowHeight="15" x14ac:dyDescent="0.25"/>
  <sheetData>
    <row r="1" spans="1:28" x14ac:dyDescent="0.25">
      <c r="A1" s="8"/>
      <c r="B1" s="8"/>
      <c r="C1" s="8"/>
      <c r="D1" s="8"/>
      <c r="E1" s="8"/>
      <c r="F1" s="8"/>
      <c r="G1" s="8"/>
      <c r="H1" s="8"/>
      <c r="I1" s="8"/>
      <c r="J1" s="8"/>
      <c r="K1" s="8"/>
      <c r="L1" s="8"/>
      <c r="M1" s="8"/>
      <c r="N1" s="8"/>
      <c r="O1" s="8"/>
      <c r="P1" s="8"/>
      <c r="Q1" s="8"/>
      <c r="R1" s="8"/>
      <c r="S1" s="8"/>
      <c r="T1" s="8"/>
      <c r="U1" s="8"/>
      <c r="V1" s="8"/>
      <c r="W1" s="8"/>
      <c r="X1" s="8"/>
      <c r="Y1" s="8"/>
      <c r="Z1" s="8"/>
      <c r="AA1" s="8"/>
      <c r="AB1" s="8"/>
    </row>
    <row r="2" spans="1:28" x14ac:dyDescent="0.25">
      <c r="A2" s="8"/>
      <c r="B2" s="8"/>
      <c r="C2" s="8"/>
      <c r="D2" s="8"/>
      <c r="E2" s="8"/>
      <c r="F2" s="8"/>
      <c r="G2" s="8"/>
      <c r="H2" s="8"/>
      <c r="I2" s="8"/>
      <c r="J2" s="8"/>
      <c r="K2" s="8"/>
      <c r="L2" s="8"/>
      <c r="M2" s="8"/>
      <c r="N2" s="8"/>
      <c r="O2" s="8"/>
      <c r="P2" s="8"/>
      <c r="Q2" s="8"/>
      <c r="R2" s="8"/>
      <c r="S2" s="8"/>
      <c r="T2" s="8"/>
      <c r="U2" s="8"/>
      <c r="V2" s="8"/>
      <c r="W2" s="8"/>
      <c r="X2" s="8"/>
      <c r="Y2" s="8"/>
      <c r="Z2" s="8"/>
      <c r="AA2" s="8"/>
      <c r="AB2" s="8"/>
    </row>
    <row r="3" spans="1:28" x14ac:dyDescent="0.25">
      <c r="A3" s="8"/>
      <c r="B3" s="8"/>
      <c r="C3" s="8"/>
      <c r="D3" s="8"/>
      <c r="E3" s="8"/>
      <c r="F3" s="8"/>
      <c r="G3" s="8"/>
      <c r="H3" s="8"/>
      <c r="I3" s="8"/>
      <c r="J3" s="8"/>
      <c r="K3" s="8"/>
      <c r="L3" s="8"/>
      <c r="M3" s="8"/>
      <c r="N3" s="8"/>
      <c r="O3" s="8"/>
      <c r="P3" s="8"/>
      <c r="Q3" s="8"/>
      <c r="R3" s="8"/>
      <c r="S3" s="8"/>
      <c r="T3" s="8"/>
      <c r="U3" s="8"/>
      <c r="V3" s="8"/>
      <c r="W3" s="8"/>
      <c r="X3" s="8"/>
      <c r="Y3" s="8"/>
      <c r="Z3" s="8"/>
      <c r="AA3" s="8"/>
      <c r="AB3" s="8"/>
    </row>
    <row r="4" spans="1:28" x14ac:dyDescent="0.25">
      <c r="A4" s="8"/>
      <c r="B4" s="8"/>
      <c r="C4" s="8"/>
      <c r="D4" s="8"/>
      <c r="E4" s="8"/>
      <c r="F4" s="8"/>
      <c r="G4" s="8"/>
      <c r="H4" s="8"/>
      <c r="I4" s="8"/>
      <c r="J4" s="8"/>
      <c r="K4" s="8"/>
      <c r="L4" s="8"/>
      <c r="M4" s="8"/>
      <c r="N4" s="8"/>
      <c r="O4" s="8"/>
      <c r="P4" s="8"/>
      <c r="Q4" s="8"/>
      <c r="R4" s="8"/>
      <c r="S4" s="8"/>
      <c r="T4" s="8"/>
      <c r="U4" s="8"/>
      <c r="V4" s="8"/>
      <c r="W4" s="8"/>
      <c r="X4" s="8"/>
      <c r="Y4" s="8"/>
      <c r="Z4" s="8"/>
      <c r="AA4" s="8"/>
      <c r="AB4" s="8"/>
    </row>
    <row r="5" spans="1:28" x14ac:dyDescent="0.25">
      <c r="A5" s="8"/>
      <c r="B5" s="8"/>
      <c r="C5" s="8"/>
      <c r="D5" s="8"/>
      <c r="E5" s="8"/>
      <c r="F5" s="8"/>
      <c r="G5" s="8"/>
      <c r="H5" s="8"/>
      <c r="I5" s="8"/>
      <c r="J5" s="8"/>
      <c r="K5" s="8"/>
      <c r="L5" s="8"/>
      <c r="M5" s="8"/>
      <c r="N5" s="8"/>
      <c r="O5" s="8"/>
      <c r="P5" s="8"/>
      <c r="Q5" s="8"/>
      <c r="R5" s="8"/>
      <c r="S5" s="8"/>
      <c r="T5" s="8"/>
      <c r="U5" s="8"/>
      <c r="V5" s="8"/>
      <c r="W5" s="8"/>
      <c r="X5" s="8"/>
      <c r="Y5" s="8"/>
      <c r="Z5" s="8"/>
      <c r="AA5" s="8"/>
      <c r="AB5" s="8"/>
    </row>
    <row r="6" spans="1:28" x14ac:dyDescent="0.25">
      <c r="A6" s="8"/>
      <c r="B6" s="8"/>
      <c r="C6" s="8"/>
      <c r="D6" s="8"/>
      <c r="E6" s="8"/>
      <c r="F6" s="8"/>
      <c r="G6" s="8"/>
      <c r="H6" s="8"/>
      <c r="I6" s="8"/>
      <c r="J6" s="8"/>
      <c r="K6" s="8"/>
      <c r="L6" s="8"/>
      <c r="M6" s="8"/>
      <c r="N6" s="8"/>
      <c r="O6" s="8"/>
      <c r="P6" s="8"/>
      <c r="Q6" s="8"/>
      <c r="R6" s="8"/>
      <c r="S6" s="8"/>
      <c r="T6" s="8"/>
      <c r="U6" s="8"/>
      <c r="V6" s="8"/>
      <c r="W6" s="8"/>
      <c r="X6" s="8"/>
      <c r="Y6" s="8"/>
      <c r="Z6" s="8"/>
      <c r="AA6" s="8"/>
      <c r="AB6" s="8"/>
    </row>
    <row r="7" spans="1:28" x14ac:dyDescent="0.25">
      <c r="A7" s="8"/>
      <c r="B7" s="8"/>
      <c r="C7" s="8"/>
      <c r="D7" s="8"/>
      <c r="E7" s="8"/>
      <c r="F7" s="8"/>
      <c r="G7" s="8"/>
      <c r="H7" s="8"/>
      <c r="I7" s="8"/>
      <c r="J7" s="8"/>
      <c r="K7" s="8"/>
      <c r="L7" s="8"/>
      <c r="M7" s="8"/>
      <c r="N7" s="8"/>
      <c r="O7" s="8"/>
      <c r="P7" s="8"/>
      <c r="Q7" s="8"/>
      <c r="R7" s="8"/>
      <c r="S7" s="8"/>
      <c r="T7" s="8"/>
      <c r="U7" s="8"/>
      <c r="V7" s="8"/>
      <c r="W7" s="8"/>
      <c r="X7" s="8"/>
      <c r="Y7" s="8"/>
      <c r="Z7" s="8"/>
      <c r="AA7" s="8"/>
      <c r="AB7" s="8"/>
    </row>
    <row r="8" spans="1:28" x14ac:dyDescent="0.25">
      <c r="A8" s="8"/>
      <c r="B8" s="8"/>
      <c r="C8" s="8"/>
      <c r="D8" s="8"/>
      <c r="E8" s="8"/>
      <c r="F8" s="8"/>
      <c r="G8" s="8"/>
      <c r="H8" s="8"/>
      <c r="I8" s="8"/>
      <c r="J8" s="8"/>
      <c r="K8" s="8"/>
      <c r="L8" s="8"/>
      <c r="M8" s="8"/>
      <c r="N8" s="8"/>
      <c r="O8" s="8"/>
      <c r="P8" s="8"/>
      <c r="Q8" s="8"/>
      <c r="R8" s="8"/>
      <c r="S8" s="8"/>
      <c r="T8" s="8"/>
      <c r="U8" s="8"/>
      <c r="V8" s="8"/>
      <c r="W8" s="8"/>
      <c r="X8" s="8"/>
      <c r="Y8" s="8"/>
      <c r="Z8" s="8"/>
      <c r="AA8" s="8"/>
      <c r="AB8" s="8"/>
    </row>
    <row r="9" spans="1:28" x14ac:dyDescent="0.25">
      <c r="A9" s="8"/>
      <c r="B9" s="8"/>
      <c r="C9" s="8"/>
      <c r="D9" s="8"/>
      <c r="E9" s="8"/>
      <c r="F9" s="8"/>
      <c r="G9" s="8"/>
      <c r="H9" s="8"/>
      <c r="I9" s="8"/>
      <c r="J9" s="8"/>
      <c r="K9" s="8"/>
      <c r="L9" s="8"/>
      <c r="M9" s="8"/>
      <c r="N9" s="8"/>
      <c r="O9" s="8"/>
      <c r="P9" s="8"/>
      <c r="Q9" s="8"/>
      <c r="R9" s="8"/>
      <c r="S9" s="8"/>
      <c r="T9" s="8"/>
      <c r="U9" s="8"/>
      <c r="V9" s="8"/>
      <c r="W9" s="8"/>
      <c r="X9" s="8"/>
      <c r="Y9" s="8"/>
      <c r="Z9" s="8"/>
      <c r="AA9" s="8"/>
      <c r="AB9" s="8"/>
    </row>
    <row r="10" spans="1:28"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row>
    <row r="11" spans="1:28"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spans="1:28"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spans="1:28"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spans="1:28"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spans="1:28"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row>
    <row r="16" spans="1:28"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spans="1:28"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spans="1:28"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spans="1:28"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spans="1:28"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spans="1:28"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spans="1:28"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spans="1:28"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1:28"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8"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1:28"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1:28"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spans="1:28"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spans="1:28"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spans="1:28"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spans="1:28"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1:28"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1:28"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1:28"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1:28"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1:28"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1:28"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1:28"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1:28"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spans="1:28"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spans="1:28"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spans="1:28"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spans="1:28"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spans="1:28"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spans="1:28"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spans="1:28"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spans="1:28"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spans="1:28"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spans="1:28"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spans="1:28"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spans="1:28"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spans="1:28"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spans="1:28"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spans="1:28"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spans="1:28"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spans="1:28"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spans="1:28"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spans="1:28"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spans="1:28"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Investment Preference Data</vt:lpstr>
      <vt:lpstr>Investment Preference Clean</vt:lpstr>
      <vt:lpstr>Avenues by Gender</vt:lpstr>
      <vt:lpstr>Investment Pref by Age Group</vt:lpstr>
      <vt:lpstr>Factor by Age Group</vt:lpstr>
      <vt:lpstr>Savings_Obj by Duration</vt:lpstr>
      <vt:lpstr>Mutual Funds Reasons by Expect</vt:lpstr>
      <vt:lpstr>Savings_Obj by Return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Toluwani Emmanuel</dc:creator>
  <cp:lastModifiedBy>Toluwani Emmanuel</cp:lastModifiedBy>
  <dcterms:created xsi:type="dcterms:W3CDTF">2025-11-20T20:59:56Z</dcterms:created>
  <dcterms:modified xsi:type="dcterms:W3CDTF">2025-11-21T02:00:19Z</dcterms:modified>
</cp:coreProperties>
</file>