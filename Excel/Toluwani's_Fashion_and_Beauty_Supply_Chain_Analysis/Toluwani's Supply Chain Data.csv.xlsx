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PC\Documents\Excel For Data Analytics\"/>
    </mc:Choice>
  </mc:AlternateContent>
  <xr:revisionPtr revIDLastSave="0" documentId="13_ncr:1_{94B8DDA6-C4D2-4D66-AA01-6876BF9BDF0B}" xr6:coauthVersionLast="47" xr6:coauthVersionMax="47" xr10:uidLastSave="{00000000-0000-0000-0000-000000000000}"/>
  <bookViews>
    <workbookView xWindow="-120" yWindow="-120" windowWidth="20730" windowHeight="11040" activeTab="1" xr2:uid="{B3F44F6B-3DE5-4F0A-AC55-8F8554886067}"/>
  </bookViews>
  <sheets>
    <sheet name="supply_chain_data" sheetId="1" r:id="rId1"/>
    <sheet name="Supply Chain Data Cleaned" sheetId="2" r:id="rId2"/>
    <sheet name="Price vs Revenue Analysis" sheetId="3" r:id="rId3"/>
    <sheet name="Sales Percentage by Product Typ" sheetId="5" r:id="rId4"/>
    <sheet name="Revenue by Carriers" sheetId="6" r:id="rId5"/>
    <sheet name="SKU(s) by Revenue" sheetId="7" r:id="rId6"/>
    <sheet name="Stock Levels by SKU" sheetId="8" r:id="rId7"/>
    <sheet name="Shipping Costs by Carriers" sheetId="9" r:id="rId8"/>
    <sheet name="Transport Cost Distribution" sheetId="12" r:id="rId9"/>
    <sheet name="Avg Defect Rate by PM &amp; TM" sheetId="13" r:id="rId10"/>
    <sheet name="Dashboard" sheetId="14" r:id="rId11"/>
  </sheets>
  <definedNames>
    <definedName name="_xlnm._FilterDatabase" localSheetId="1" hidden="1">'Supply Chain Data Cleaned'!$A$1:$AA$101</definedName>
    <definedName name="_xlnm._FilterDatabase" localSheetId="0" hidden="1">supply_chain_data!$A$1:$X$101</definedName>
    <definedName name="Slicer_Product_Type">#N/A</definedName>
    <definedName name="Slicer_Shipping_Carriers">#N/A</definedName>
    <definedName name="Slicer_Transportation_Mode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7" i="2" l="1"/>
  <c r="AE6" i="2"/>
  <c r="AE5" i="2"/>
  <c r="AE4"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2" i="2"/>
</calcChain>
</file>

<file path=xl/sharedStrings.xml><?xml version="1.0" encoding="utf-8"?>
<sst xmlns="http://schemas.openxmlformats.org/spreadsheetml/2006/main" count="1922" uniqueCount="186">
  <si>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</si>
  <si>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</si>
  <si>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</si>
  <si>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</si>
  <si>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</si>
  <si>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</si>
  <si>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</si>
  <si>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</si>
  <si>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</si>
  <si>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</si>
  <si>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</si>
  <si>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</si>
  <si>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</si>
  <si>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</si>
  <si>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</si>
  <si>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</si>
  <si>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</si>
  <si>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</si>
  <si>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</si>
  <si>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</si>
  <si>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</si>
  <si>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</si>
  <si>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</si>
  <si>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</si>
  <si>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</si>
  <si>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</si>
  <si>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</si>
  <si>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</si>
  <si>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</si>
  <si>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</si>
  <si>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</si>
  <si>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</si>
  <si>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</si>
  <si>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</si>
  <si>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</si>
  <si>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</si>
  <si>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</si>
  <si>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</si>
  <si>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</si>
  <si>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</si>
  <si>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</si>
  <si>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</si>
  <si>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</si>
  <si>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</si>
  <si>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</si>
  <si>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</si>
  <si>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</si>
  <si>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</si>
  <si>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</si>
  <si>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</si>
  <si>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</si>
  <si>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</si>
  <si>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</si>
  <si>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</si>
  <si>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</si>
  <si>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</si>
  <si>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</si>
  <si>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</si>
  <si>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</si>
  <si>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</si>
  <si>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</si>
  <si>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</si>
  <si>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</si>
  <si>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</si>
  <si>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</si>
  <si>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</si>
  <si>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</si>
  <si>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</si>
  <si>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</si>
  <si>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</si>
  <si>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</si>
  <si>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</si>
  <si>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</si>
  <si>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</si>
  <si>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</si>
  <si>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</si>
  <si>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</si>
  <si>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</si>
  <si>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</si>
  <si>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</si>
  <si>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</si>
  <si>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</si>
  <si>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</si>
  <si>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</si>
  <si>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</si>
  <si>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</si>
  <si>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</si>
  <si>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</si>
  <si>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</si>
  <si>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</si>
  <si>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</si>
  <si>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</si>
  <si>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</si>
  <si>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</si>
  <si>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</si>
  <si>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</si>
  <si>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</si>
  <si>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</si>
  <si>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</si>
  <si>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</si>
  <si>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</si>
  <si>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</si>
  <si>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</si>
  <si>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</si>
  <si>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</si>
  <si>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</si>
  <si>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</si>
  <si>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</si>
  <si>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</si>
  <si>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</si>
  <si>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</si>
  <si>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</si>
  <si>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</si>
  <si>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</si>
  <si>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</si>
  <si>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</si>
  <si>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</si>
  <si>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</si>
  <si>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</si>
  <si>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</si>
  <si>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</si>
  <si>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</si>
  <si>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</si>
  <si>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</si>
  <si>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</si>
  <si>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</si>
  <si>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</si>
  <si>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</si>
  <si>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</si>
  <si>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</si>
  <si>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</si>
  <si>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</si>
  <si>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</si>
  <si>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</si>
  <si>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</si>
  <si>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</si>
  <si>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</si>
  <si>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</si>
  <si>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</si>
  <si>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</si>
  <si>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</si>
  <si>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</si>
  <si>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</si>
  <si>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</si>
  <si>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</si>
  <si>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</si>
  <si>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</si>
  <si>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</si>
  <si>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</si>
  <si>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</si>
  <si>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</si>
  <si>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</si>
  <si>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</si>
  <si>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</si>
  <si>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Haircare</t>
  </si>
  <si>
    <t>Skincare</t>
  </si>
  <si>
    <t>Cosmetics</t>
  </si>
  <si>
    <t>Number of Products Sold</t>
  </si>
  <si>
    <t>Non-Binary</t>
  </si>
  <si>
    <t>Customer Demographics</t>
  </si>
  <si>
    <t>Stock Levels</t>
  </si>
  <si>
    <t>Lead Times Category</t>
  </si>
  <si>
    <t>Order Quantities Category</t>
  </si>
  <si>
    <t>Order Quantities</t>
  </si>
  <si>
    <t>Shipping Times</t>
  </si>
  <si>
    <t>Shipping Carriers</t>
  </si>
  <si>
    <t>Shipping Cost</t>
  </si>
  <si>
    <t>Supplier Name</t>
  </si>
  <si>
    <t>Lead Time</t>
  </si>
  <si>
    <t>Manufacturing Lead Time</t>
  </si>
  <si>
    <t>Manufacturing Costs</t>
  </si>
  <si>
    <t>Inspection Results</t>
  </si>
  <si>
    <t>Defect Rates</t>
  </si>
  <si>
    <t>Transportation Modes</t>
  </si>
  <si>
    <t>Revenue</t>
  </si>
  <si>
    <t>Product Type</t>
  </si>
  <si>
    <t>Grand Total</t>
  </si>
  <si>
    <t>Average Price</t>
  </si>
  <si>
    <t>Sum of Revenue</t>
  </si>
  <si>
    <t>Sum Revenue</t>
  </si>
  <si>
    <t>Sum Number of Products Sold</t>
  </si>
  <si>
    <t>SKU(s)</t>
  </si>
  <si>
    <t>Sum Stock Levels</t>
  </si>
  <si>
    <t>Sum of Shipping Cost</t>
  </si>
  <si>
    <t>Corrected Defect Rates</t>
  </si>
  <si>
    <t>Average Corrected Defect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</si>
</sst>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365B73"/>
      <name val="Candara"/>
      <family val="2"/>
    </font>
    <font>
      <b/>
      <sz val="10"/>
      <color rgb="FF365B73"/>
      <name val="Candara"/>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2F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10" fontId="16" fillId="0" borderId="0" xfId="0" applyNumberFormat="1" applyFont="1"/>
    <xf numFmtId="10" fontId="0" fillId="0" borderId="0" xfId="0" applyNumberFormat="1"/>
    <xf numFmtId="0" fontId="18" fillId="0" borderId="0" xfId="0" pivotButton="1" applyFont="1"/>
    <xf numFmtId="0" fontId="18" fillId="0" borderId="0" xfId="0" applyFont="1"/>
    <xf numFmtId="0" fontId="18" fillId="0" borderId="0" xfId="0" applyFont="1" applyAlignment="1">
      <alignment horizontal="left"/>
    </xf>
    <xf numFmtId="164" fontId="18" fillId="0" borderId="0" xfId="0" applyNumberFormat="1" applyFont="1"/>
    <xf numFmtId="0" fontId="19" fillId="0" borderId="0" xfId="0" pivotButton="1" applyFont="1"/>
    <xf numFmtId="0" fontId="19" fillId="0" borderId="0" xfId="0" applyFont="1"/>
    <xf numFmtId="0" fontId="19" fillId="0" borderId="0" xfId="0" applyFont="1" applyAlignment="1">
      <alignment horizontal="left"/>
    </xf>
    <xf numFmtId="10" fontId="19" fillId="0" borderId="0" xfId="0" applyNumberFormat="1" applyFont="1"/>
    <xf numFmtId="164" fontId="19" fillId="0" borderId="0" xfId="0" applyNumberFormat="1" applyFont="1"/>
    <xf numFmtId="1" fontId="19" fillId="0" borderId="0" xfId="0" applyNumberFormat="1" applyFon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3">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font>
        <color rgb="FF365B73"/>
      </font>
    </dxf>
    <dxf>
      <font>
        <color rgb="FF365B73"/>
      </font>
    </dxf>
    <dxf>
      <font>
        <color rgb="FF365B73"/>
      </font>
    </dxf>
    <dxf>
      <font>
        <color rgb="FF365B73"/>
      </font>
    </dxf>
    <dxf>
      <font>
        <b/>
      </font>
    </dxf>
    <dxf>
      <font>
        <b/>
      </font>
    </dxf>
    <dxf>
      <font>
        <b/>
      </font>
    </dxf>
    <dxf>
      <font>
        <b/>
      </font>
    </dxf>
    <dxf>
      <font>
        <b/>
      </font>
    </dxf>
    <dxf>
      <font>
        <b/>
      </font>
    </dxf>
    <dxf>
      <font>
        <b/>
      </font>
    </dxf>
    <dxf>
      <font>
        <b/>
      </font>
    </dxf>
    <dxf>
      <font>
        <b/>
      </font>
    </dxf>
    <dxf>
      <font>
        <b/>
      </font>
    </dxf>
    <dxf>
      <font>
        <color rgb="FF365B73"/>
      </font>
    </dxf>
    <dxf>
      <font>
        <color rgb="FF365B73"/>
      </font>
    </dxf>
    <dxf>
      <font>
        <color rgb="FF365B73"/>
      </font>
    </dxf>
    <dxf>
      <font>
        <color rgb="FF365B73"/>
      </font>
    </dxf>
    <dxf>
      <font>
        <color rgb="FF365B73"/>
      </font>
    </dxf>
    <dxf>
      <font>
        <color rgb="FF365B73"/>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font>
        <b/>
      </font>
    </dxf>
    <dxf>
      <font>
        <b/>
      </font>
    </dxf>
    <dxf>
      <font>
        <b/>
      </font>
    </dxf>
    <dxf>
      <font>
        <b/>
      </font>
    </dxf>
    <dxf>
      <font>
        <b/>
      </font>
    </dxf>
    <dxf>
      <font>
        <b/>
      </font>
    </dxf>
    <dxf>
      <font>
        <color rgb="FF365B73"/>
      </font>
    </dxf>
    <dxf>
      <font>
        <color rgb="FF365B73"/>
      </font>
    </dxf>
    <dxf>
      <font>
        <color rgb="FF365B73"/>
      </font>
    </dxf>
    <dxf>
      <font>
        <color rgb="FF365B73"/>
      </font>
    </dxf>
    <dxf>
      <font>
        <color rgb="FF365B73"/>
      </font>
    </dxf>
    <dxf>
      <font>
        <color rgb="FF365B73"/>
      </font>
    </dxf>
    <dxf>
      <font>
        <sz val="10"/>
      </font>
    </dxf>
    <dxf>
      <font>
        <sz val="10"/>
      </font>
    </dxf>
    <dxf>
      <font>
        <sz val="10"/>
      </font>
    </dxf>
    <dxf>
      <font>
        <sz val="10"/>
      </font>
    </dxf>
    <dxf>
      <font>
        <sz val="10"/>
      </font>
    </dxf>
    <dxf>
      <font>
        <sz val="10"/>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b/>
      </font>
    </dxf>
    <dxf>
      <font>
        <b/>
      </font>
    </dxf>
    <dxf>
      <font>
        <b/>
      </font>
    </dxf>
    <dxf>
      <font>
        <b/>
      </font>
    </dxf>
    <dxf>
      <font>
        <b/>
      </font>
    </dxf>
    <dxf>
      <font>
        <b/>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font>
        <name val="Candara"/>
        <scheme val="none"/>
      </font>
    </dxf>
    <dxf>
      <font>
        <name val="Candara"/>
        <scheme val="none"/>
      </font>
    </dxf>
    <dxf>
      <font>
        <name val="Candara"/>
        <scheme val="none"/>
      </font>
    </dxf>
    <dxf>
      <font>
        <name val="Candara"/>
        <scheme val="none"/>
      </font>
    </dxf>
    <dxf>
      <font>
        <name val="Candara"/>
        <scheme val="none"/>
      </font>
    </dxf>
    <dxf>
      <font>
        <name val="Candara"/>
        <scheme val="none"/>
      </font>
    </dxf>
    <dxf>
      <font>
        <sz val="10"/>
      </font>
    </dxf>
    <dxf>
      <font>
        <sz val="10"/>
      </font>
    </dxf>
    <dxf>
      <font>
        <sz val="10"/>
      </font>
    </dxf>
    <dxf>
      <font>
        <sz val="10"/>
      </font>
    </dxf>
    <dxf>
      <font>
        <sz val="10"/>
      </font>
    </dxf>
    <dxf>
      <font>
        <sz val="10"/>
      </font>
    </dxf>
    <dxf>
      <font>
        <color rgb="FF365B73"/>
      </font>
    </dxf>
    <dxf>
      <font>
        <color rgb="FF365B73"/>
      </font>
    </dxf>
    <dxf>
      <font>
        <color rgb="FF365B73"/>
      </font>
    </dxf>
    <dxf>
      <font>
        <color rgb="FF365B73"/>
      </font>
    </dxf>
    <dxf>
      <font>
        <color rgb="FF365B73"/>
      </font>
    </dxf>
    <dxf>
      <font>
        <color rgb="FF365B73"/>
      </font>
    </dxf>
    <dxf>
      <numFmt numFmtId="164" formatCode="&quot;$&quot;#,##0.00"/>
    </dxf>
    <dxf>
      <numFmt numFmtId="14" formatCode="0.00%"/>
    </dxf>
    <dxf>
      <numFmt numFmtId="14" formatCode="0.00%"/>
    </dxf>
    <dxf>
      <numFmt numFmtId="164" formatCode="&quot;$&quot;#,##0.00"/>
    </dxf>
    <dxf>
      <numFmt numFmtId="1" formatCode="0"/>
    </dxf>
    <dxf>
      <numFmt numFmtId="1" formatCode="0"/>
    </dxf>
    <dxf>
      <numFmt numFmtId="1" formatCode="0"/>
    </dxf>
    <dxf>
      <numFmt numFmtId="164" formatCode="&quot;$&quot;#,##0.00"/>
    </dxf>
    <dxf>
      <numFmt numFmtId="1" formatCode="0"/>
    </dxf>
    <dxf>
      <numFmt numFmtId="1" formatCode="0"/>
    </dxf>
    <dxf>
      <numFmt numFmtId="1" formatCode="0"/>
    </dxf>
    <dxf>
      <numFmt numFmtId="1" formatCode="0"/>
    </dxf>
    <dxf>
      <numFmt numFmtId="1" formatCode="0"/>
    </dxf>
    <dxf>
      <numFmt numFmtId="1" formatCode="0"/>
    </dxf>
    <dxf>
      <numFmt numFmtId="164" formatCode="&quot;$&quot;#,##0.00"/>
    </dxf>
    <dxf>
      <numFmt numFmtId="1" formatCode="0"/>
    </dxf>
    <dxf>
      <numFmt numFmtId="1" formatCode="0"/>
    </dxf>
    <dxf>
      <numFmt numFmtId="164" formatCode="&quot;$&quot;#,##0.00"/>
    </dxf>
    <dxf>
      <font>
        <b/>
        <i val="0"/>
        <strike val="0"/>
        <condense val="0"/>
        <extend val="0"/>
        <outline val="0"/>
        <shadow val="0"/>
        <u val="none"/>
        <vertAlign val="baseline"/>
        <sz val="11"/>
        <color theme="1"/>
        <name val="Calibri"/>
        <family val="2"/>
        <scheme val="minor"/>
      </font>
    </dxf>
    <dxf>
      <font>
        <b/>
        <i val="0"/>
        <sz val="9"/>
        <color rgb="FF365B73"/>
      </font>
      <fill>
        <patternFill>
          <fgColor rgb="FF93AEBF"/>
        </patternFill>
      </fill>
      <border diagonalUp="0" diagonalDown="0">
        <left style="thin">
          <color auto="1"/>
        </left>
        <right style="thin">
          <color auto="1"/>
        </right>
        <top style="thin">
          <color auto="1"/>
        </top>
        <bottom style="thin">
          <color auto="1"/>
        </bottom>
        <vertical/>
        <horizontal/>
      </border>
    </dxf>
    <dxf>
      <font>
        <sz val="8"/>
        <color rgb="FF365B73"/>
        <name val="Candara"/>
        <family val="2"/>
        <scheme val="none"/>
      </font>
      <border>
        <vertical/>
        <horizontal/>
      </border>
    </dxf>
  </dxfs>
  <tableStyles count="5" defaultTableStyle="TableStyleMedium2" defaultPivotStyle="PivotStyleLight16">
    <tableStyle name="Slicer Style 1" pivot="0" table="0" count="1" xr9:uid="{BA481E12-5048-43A6-8837-BCBD87B8488A}">
      <tableStyleElement type="headerRow" dxfId="222"/>
    </tableStyle>
    <tableStyle name="Slicer Style 2" pivot="0" table="0" count="1" xr9:uid="{DF58C1F7-80BF-4DCD-9C3B-F94897F584E3}"/>
    <tableStyle name="Slicer Style 3" pivot="0" table="0" count="1" xr9:uid="{F90EE7F9-60BF-46CF-B5AD-B641DA8C5666}">
      <tableStyleElement type="wholeTable" dxfId="221"/>
    </tableStyle>
    <tableStyle name="Slicer Style 4" pivot="0" table="0" count="1" xr9:uid="{1113FDA8-5A29-4344-8108-8FD3F8EA913D}"/>
    <tableStyle name="Slicer Style 5" pivot="0" table="0" count="1" xr9:uid="{5A85D7DE-B4A3-43C2-8EFF-5A479D104188}"/>
  </tableStyles>
  <colors>
    <mruColors>
      <color rgb="FFD8E8F2"/>
      <color rgb="FF365B73"/>
      <color rgb="FF93AEBF"/>
      <color rgb="FFF2F2F2"/>
      <color rgb="FF605E5C"/>
      <color rgb="FF403F3E"/>
      <color rgb="FF1047F8"/>
    </mruColors>
  </colors>
  <extLst>
    <ext xmlns:x14="http://schemas.microsoft.com/office/spreadsheetml/2009/9/main" uri="{46F421CA-312F-682f-3DD2-61675219B42D}">
      <x14:dxfs count="3">
        <dxf>
          <font>
            <b/>
            <i val="0"/>
            <sz val="10"/>
            <color rgb="FFD8E8F2"/>
            <name val="Candara"/>
            <family val="2"/>
            <scheme val="none"/>
          </font>
          <fill>
            <patternFill>
              <bgColor rgb="FF365B73"/>
            </patternFill>
          </fill>
          <border>
            <left style="thin">
              <color auto="1"/>
            </left>
            <right style="thin">
              <color auto="1"/>
            </right>
            <top style="thin">
              <color auto="1"/>
            </top>
            <bottom style="thin">
              <color auto="1"/>
            </bottom>
          </border>
        </dxf>
        <dxf>
          <font>
            <b/>
            <i val="0"/>
            <sz val="11"/>
            <color rgb="FF365B73"/>
            <name val="Candara"/>
            <family val="2"/>
            <scheme val="none"/>
          </font>
          <fill>
            <patternFill patternType="solid">
              <fgColor theme="0"/>
              <bgColor rgb="FFD8E8F2"/>
            </patternFill>
          </fill>
          <border>
            <left style="thin">
              <color auto="1"/>
            </left>
            <right style="thin">
              <color auto="1"/>
            </right>
            <top style="thin">
              <color auto="1"/>
            </top>
            <bottom style="thin">
              <color auto="1"/>
            </bottom>
          </border>
        </dxf>
        <dxf>
          <font>
            <sz val="9"/>
            <color rgb="FF365B73"/>
            <name val="Candara"/>
            <family val="2"/>
            <scheme val="none"/>
          </font>
          <fill>
            <patternFill>
              <fgColor rgb="FF93AEBF"/>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2"/>
          </x14:slicerStyleElements>
        </x14:slicerStyle>
        <x14:slicerStyle name="Slicer Style 3"/>
        <x14:slicerStyle name="Slicer Style 4">
          <x14:slicerStyleElements>
            <x14:slicerStyleElement type="selectedItemWithData" dxfId="1"/>
          </x14:slicerStyleElements>
        </x14:slicerStyle>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Data.csv.xlsx]Price vs Revenue Analysis!PivotTable1</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Price vs Revenue by Product Type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65B7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a:sp3d/>
        </c:spPr>
      </c:pivotFmt>
      <c:pivotFmt>
        <c:idx val="3"/>
        <c:spPr>
          <a:solidFill>
            <a:srgbClr val="D8E8F2"/>
          </a:solidFill>
          <a:ln>
            <a:noFill/>
          </a:ln>
          <a:effectLst/>
          <a:sp3d/>
        </c:spPr>
      </c:pivotFmt>
      <c:pivotFmt>
        <c:idx val="4"/>
        <c:spPr>
          <a:solidFill>
            <a:srgbClr val="D8E8F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'Price vs Revenue Analysis'!$B$3</c:f>
              <c:strCache>
                <c:ptCount val="1"/>
                <c:pt idx="0">
                  <c:v>Average Price</c:v>
                </c:pt>
              </c:strCache>
            </c:strRef>
          </c:tx>
          <c:spPr>
            <a:solidFill>
              <a:srgbClr val="365B73"/>
            </a:solidFill>
            <a:ln>
              <a:noFill/>
            </a:ln>
            <a:effectLst/>
            <a:sp3d/>
          </c:spPr>
          <c:invertIfNegative val="0"/>
          <c:cat>
            <c:strRef>
              <c:f>'Price vs Revenue Analysis'!$A$4:$A$7</c:f>
              <c:strCache>
                <c:ptCount val="3"/>
                <c:pt idx="0">
                  <c:v>Cosmetics</c:v>
                </c:pt>
                <c:pt idx="1">
                  <c:v>Haircare</c:v>
                </c:pt>
                <c:pt idx="2">
                  <c:v>Skincare</c:v>
                </c:pt>
              </c:strCache>
            </c:strRef>
          </c:cat>
          <c:val>
            <c:numRef>
              <c:f>'Price vs Revenue Analysis'!$B$4:$B$7</c:f>
              <c:numCache>
                <c:formatCode>"$"#,##0.00</c:formatCode>
                <c:ptCount val="3"/>
                <c:pt idx="0">
                  <c:v>57.361153846153847</c:v>
                </c:pt>
                <c:pt idx="1">
                  <c:v>46.014117647058818</c:v>
                </c:pt>
                <c:pt idx="2">
                  <c:v>47.259499999999989</c:v>
                </c:pt>
              </c:numCache>
            </c:numRef>
          </c:val>
          <c:extLst>
            <c:ext xmlns:c16="http://schemas.microsoft.com/office/drawing/2014/chart" uri="{C3380CC4-5D6E-409C-BE32-E72D297353CC}">
              <c16:uniqueId val="{00000000-33B0-4FC8-8B96-449ECB5F3596}"/>
            </c:ext>
          </c:extLst>
        </c:ser>
        <c:ser>
          <c:idx val="1"/>
          <c:order val="1"/>
          <c:tx>
            <c:strRef>
              <c:f>'Price vs Revenue Analysis'!$C$3</c:f>
              <c:strCache>
                <c:ptCount val="1"/>
                <c:pt idx="0">
                  <c:v>Sum Revenue</c:v>
                </c:pt>
              </c:strCache>
            </c:strRef>
          </c:tx>
          <c:spPr>
            <a:solidFill>
              <a:srgbClr val="D8E8F2"/>
            </a:solidFill>
            <a:ln>
              <a:noFill/>
            </a:ln>
            <a:effectLst/>
            <a:sp3d/>
          </c:spPr>
          <c:invertIfNegative val="0"/>
          <c:cat>
            <c:strRef>
              <c:f>'Price vs Revenue Analysis'!$A$4:$A$7</c:f>
              <c:strCache>
                <c:ptCount val="3"/>
                <c:pt idx="0">
                  <c:v>Cosmetics</c:v>
                </c:pt>
                <c:pt idx="1">
                  <c:v>Haircare</c:v>
                </c:pt>
                <c:pt idx="2">
                  <c:v>Skincare</c:v>
                </c:pt>
              </c:strCache>
            </c:strRef>
          </c:cat>
          <c:val>
            <c:numRef>
              <c:f>'Price vs Revenue Analysis'!$C$4:$C$7</c:f>
              <c:numCache>
                <c:formatCode>"$"#,##0.00</c:formatCode>
                <c:ptCount val="3"/>
                <c:pt idx="0">
                  <c:v>161521.26999999996</c:v>
                </c:pt>
                <c:pt idx="1">
                  <c:v>174455.41999999998</c:v>
                </c:pt>
                <c:pt idx="2">
                  <c:v>241628.17</c:v>
                </c:pt>
              </c:numCache>
            </c:numRef>
          </c:val>
          <c:extLst>
            <c:ext xmlns:c16="http://schemas.microsoft.com/office/drawing/2014/chart" uri="{C3380CC4-5D6E-409C-BE32-E72D297353CC}">
              <c16:uniqueId val="{00000001-33B0-4FC8-8B96-449ECB5F3596}"/>
            </c:ext>
          </c:extLst>
        </c:ser>
        <c:dLbls>
          <c:showLegendKey val="0"/>
          <c:showVal val="0"/>
          <c:showCatName val="0"/>
          <c:showSerName val="0"/>
          <c:showPercent val="0"/>
          <c:showBubbleSize val="0"/>
        </c:dLbls>
        <c:gapWidth val="150"/>
        <c:shape val="box"/>
        <c:axId val="229346911"/>
        <c:axId val="229367071"/>
        <c:axId val="0"/>
      </c:bar3DChart>
      <c:catAx>
        <c:axId val="229346911"/>
        <c:scaling>
          <c:orientation val="minMax"/>
        </c:scaling>
        <c:delete val="0"/>
        <c:axPos val="b"/>
        <c:numFmt formatCode="General" sourceLinked="1"/>
        <c:majorTickMark val="none"/>
        <c:minorTickMark val="none"/>
        <c:tickLblPos val="nextTo"/>
        <c:spPr>
          <a:noFill/>
          <a:ln>
            <a:solidFill>
              <a:srgbClr val="365B73"/>
            </a:solid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229367071"/>
        <c:crosses val="autoZero"/>
        <c:auto val="1"/>
        <c:lblAlgn val="ctr"/>
        <c:lblOffset val="100"/>
        <c:noMultiLvlLbl val="0"/>
      </c:catAx>
      <c:valAx>
        <c:axId val="22936707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22934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Data.csv.xlsx]Sales Percentage by Product Typ!PivotTable2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Sales Distribution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w="19050">
            <a:noFill/>
          </a:ln>
          <a:effectLst/>
        </c:spPr>
      </c:pivotFmt>
      <c:pivotFmt>
        <c:idx val="2"/>
        <c:spPr>
          <a:solidFill>
            <a:srgbClr val="365B73"/>
          </a:solidFill>
          <a:ln w="19050">
            <a:noFill/>
          </a:ln>
          <a:effectLst/>
        </c:spPr>
      </c:pivotFmt>
      <c:pivotFmt>
        <c:idx val="3"/>
        <c:spPr>
          <a:solidFill>
            <a:srgbClr val="93AEBF"/>
          </a:solidFill>
          <a:ln w="19050">
            <a:noFill/>
          </a:ln>
          <a:effectLst/>
        </c:spPr>
      </c:pivotFmt>
    </c:pivotFmts>
    <c:plotArea>
      <c:layout/>
      <c:doughnutChart>
        <c:varyColors val="1"/>
        <c:ser>
          <c:idx val="0"/>
          <c:order val="0"/>
          <c:tx>
            <c:strRef>
              <c:f>'Sales Percentage by Product Typ'!$B$3</c:f>
              <c:strCache>
                <c:ptCount val="1"/>
                <c:pt idx="0">
                  <c:v>Total</c:v>
                </c:pt>
              </c:strCache>
            </c:strRef>
          </c:tx>
          <c:spPr>
            <a:ln>
              <a:noFill/>
            </a:ln>
          </c:spPr>
          <c:dPt>
            <c:idx val="0"/>
            <c:bubble3D val="0"/>
            <c:spPr>
              <a:solidFill>
                <a:srgbClr val="365B73"/>
              </a:solidFill>
              <a:ln w="19050">
                <a:noFill/>
              </a:ln>
              <a:effectLst/>
            </c:spPr>
            <c:extLst>
              <c:ext xmlns:c16="http://schemas.microsoft.com/office/drawing/2014/chart" uri="{C3380CC4-5D6E-409C-BE32-E72D297353CC}">
                <c16:uniqueId val="{00000003-5941-4B91-A79C-D40E7559CC22}"/>
              </c:ext>
            </c:extLst>
          </c:dPt>
          <c:dPt>
            <c:idx val="1"/>
            <c:bubble3D val="0"/>
            <c:spPr>
              <a:solidFill>
                <a:srgbClr val="93AEBF"/>
              </a:solidFill>
              <a:ln w="19050">
                <a:noFill/>
              </a:ln>
              <a:effectLst/>
            </c:spPr>
            <c:extLst>
              <c:ext xmlns:c16="http://schemas.microsoft.com/office/drawing/2014/chart" uri="{C3380CC4-5D6E-409C-BE32-E72D297353CC}">
                <c16:uniqueId val="{00000004-5941-4B91-A79C-D40E7559CC22}"/>
              </c:ext>
            </c:extLst>
          </c:dPt>
          <c:dPt>
            <c:idx val="2"/>
            <c:bubble3D val="0"/>
            <c:spPr>
              <a:solidFill>
                <a:srgbClr val="D8E8F2"/>
              </a:solidFill>
              <a:ln w="19050">
                <a:noFill/>
              </a:ln>
              <a:effectLst/>
            </c:spPr>
            <c:extLst>
              <c:ext xmlns:c16="http://schemas.microsoft.com/office/drawing/2014/chart" uri="{C3380CC4-5D6E-409C-BE32-E72D297353CC}">
                <c16:uniqueId val="{00000002-5941-4B91-A79C-D40E7559CC22}"/>
              </c:ext>
            </c:extLst>
          </c:dPt>
          <c:cat>
            <c:strRef>
              <c:f>'Sales Percentage by Product Typ'!$A$4:$A$7</c:f>
              <c:strCache>
                <c:ptCount val="3"/>
                <c:pt idx="0">
                  <c:v>Cosmetics</c:v>
                </c:pt>
                <c:pt idx="1">
                  <c:v>Haircare</c:v>
                </c:pt>
                <c:pt idx="2">
                  <c:v>Skincare</c:v>
                </c:pt>
              </c:strCache>
            </c:strRef>
          </c:cat>
          <c:val>
            <c:numRef>
              <c:f>'Sales Percentage by Product Typ'!$B$4:$B$7</c:f>
              <c:numCache>
                <c:formatCode>0.00%</c:formatCode>
                <c:ptCount val="3"/>
                <c:pt idx="0">
                  <c:v>0.25503807024013536</c:v>
                </c:pt>
                <c:pt idx="1">
                  <c:v>0.29525586238313195</c:v>
                </c:pt>
                <c:pt idx="2">
                  <c:v>0.44970606737673269</c:v>
                </c:pt>
              </c:numCache>
            </c:numRef>
          </c:val>
          <c:extLst>
            <c:ext xmlns:c16="http://schemas.microsoft.com/office/drawing/2014/chart" uri="{C3380CC4-5D6E-409C-BE32-E72D297353CC}">
              <c16:uniqueId val="{00000000-5941-4B91-A79C-D40E7559CC2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Data.csv.xlsx]Revenue by Carriers!PivotTable3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Revenue by Shipping Carriers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Carriers'!$B$3</c:f>
              <c:strCache>
                <c:ptCount val="1"/>
                <c:pt idx="0">
                  <c:v>Total</c:v>
                </c:pt>
              </c:strCache>
            </c:strRef>
          </c:tx>
          <c:spPr>
            <a:solidFill>
              <a:srgbClr val="D8E8F2"/>
            </a:solidFill>
            <a:ln>
              <a:noFill/>
            </a:ln>
            <a:effectLst/>
          </c:spPr>
          <c:invertIfNegative val="0"/>
          <c:cat>
            <c:strRef>
              <c:f>'Revenue by Carriers'!$A$4:$A$7</c:f>
              <c:strCache>
                <c:ptCount val="3"/>
                <c:pt idx="0">
                  <c:v>Carrier A</c:v>
                </c:pt>
                <c:pt idx="1">
                  <c:v>Carrier B</c:v>
                </c:pt>
                <c:pt idx="2">
                  <c:v>Carrier C</c:v>
                </c:pt>
              </c:strCache>
            </c:strRef>
          </c:cat>
          <c:val>
            <c:numRef>
              <c:f>'Revenue by Carriers'!$B$4:$B$7</c:f>
              <c:numCache>
                <c:formatCode>"$"#,##0.00</c:formatCode>
                <c:ptCount val="3"/>
                <c:pt idx="0">
                  <c:v>142630.03999999998</c:v>
                </c:pt>
                <c:pt idx="1">
                  <c:v>250094.64</c:v>
                </c:pt>
                <c:pt idx="2">
                  <c:v>184880.18</c:v>
                </c:pt>
              </c:numCache>
            </c:numRef>
          </c:val>
          <c:extLst>
            <c:ext xmlns:c16="http://schemas.microsoft.com/office/drawing/2014/chart" uri="{C3380CC4-5D6E-409C-BE32-E72D297353CC}">
              <c16:uniqueId val="{00000000-0E41-4C6F-BB0A-A8C92BE84569}"/>
            </c:ext>
          </c:extLst>
        </c:ser>
        <c:dLbls>
          <c:showLegendKey val="0"/>
          <c:showVal val="0"/>
          <c:showCatName val="0"/>
          <c:showSerName val="0"/>
          <c:showPercent val="0"/>
          <c:showBubbleSize val="0"/>
        </c:dLbls>
        <c:gapWidth val="219"/>
        <c:overlap val="-27"/>
        <c:axId val="380021295"/>
        <c:axId val="380044815"/>
      </c:barChart>
      <c:catAx>
        <c:axId val="380021295"/>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380044815"/>
        <c:crosses val="autoZero"/>
        <c:auto val="1"/>
        <c:lblAlgn val="ctr"/>
        <c:lblOffset val="100"/>
        <c:noMultiLvlLbl val="0"/>
      </c:catAx>
      <c:valAx>
        <c:axId val="38004481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38002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Data.csv.xlsx]SKU(s) by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'SKU(s) by Revenue'!$B$3</c:f>
              <c:strCache>
                <c:ptCount val="1"/>
                <c:pt idx="0">
                  <c:v>Total</c:v>
                </c:pt>
              </c:strCache>
            </c:strRef>
          </c:tx>
          <c:spPr>
            <a:ln w="28575" cap="rnd">
              <a:solidFill>
                <a:srgbClr val="D8E8F2"/>
              </a:solidFill>
              <a:round/>
            </a:ln>
            <a:effectLst/>
          </c:spPr>
          <c:marker>
            <c:symbol val="circle"/>
            <c:size val="5"/>
            <c:spPr>
              <a:solidFill>
                <a:srgbClr val="365B73"/>
              </a:solidFill>
              <a:ln w="9525">
                <a:solidFill>
                  <a:schemeClr val="accent1"/>
                </a:solidFill>
              </a:ln>
              <a:effectLst/>
            </c:spPr>
          </c:marker>
          <c:cat>
            <c:strRef>
              <c:f>'SKU(s) by Revenue'!$A$4:$A$14</c:f>
              <c:strCache>
                <c:ptCount val="10"/>
                <c:pt idx="0">
                  <c:v>SKU18</c:v>
                </c:pt>
                <c:pt idx="1">
                  <c:v>SKU2</c:v>
                </c:pt>
                <c:pt idx="2">
                  <c:v>SKU31</c:v>
                </c:pt>
                <c:pt idx="3">
                  <c:v>SKU32</c:v>
                </c:pt>
                <c:pt idx="4">
                  <c:v>SKU38</c:v>
                </c:pt>
                <c:pt idx="5">
                  <c:v>SKU51</c:v>
                </c:pt>
                <c:pt idx="6">
                  <c:v>SKU52</c:v>
                </c:pt>
                <c:pt idx="7">
                  <c:v>SKU67</c:v>
                </c:pt>
                <c:pt idx="8">
                  <c:v>SKU88</c:v>
                </c:pt>
                <c:pt idx="9">
                  <c:v>SKU90</c:v>
                </c:pt>
              </c:strCache>
            </c:strRef>
          </c:cat>
          <c:val>
            <c:numRef>
              <c:f>'SKU(s) by Revenue'!$B$4:$B$14</c:f>
              <c:numCache>
                <c:formatCode>"$"#,##0.00</c:formatCode>
                <c:ptCount val="10"/>
                <c:pt idx="0">
                  <c:v>9364.67</c:v>
                </c:pt>
                <c:pt idx="1">
                  <c:v>9577.75</c:v>
                </c:pt>
                <c:pt idx="2">
                  <c:v>9655.14</c:v>
                </c:pt>
                <c:pt idx="3">
                  <c:v>9571.5499999999993</c:v>
                </c:pt>
                <c:pt idx="4">
                  <c:v>9692.32</c:v>
                </c:pt>
                <c:pt idx="5">
                  <c:v>9866.4699999999993</c:v>
                </c:pt>
                <c:pt idx="6">
                  <c:v>9435.76</c:v>
                </c:pt>
                <c:pt idx="7">
                  <c:v>9473.7999999999993</c:v>
                </c:pt>
                <c:pt idx="8">
                  <c:v>9444.74</c:v>
                </c:pt>
                <c:pt idx="9">
                  <c:v>9592.6299999999992</c:v>
                </c:pt>
              </c:numCache>
            </c:numRef>
          </c:val>
          <c:smooth val="0"/>
          <c:extLst>
            <c:ext xmlns:c16="http://schemas.microsoft.com/office/drawing/2014/chart" uri="{C3380CC4-5D6E-409C-BE32-E72D297353CC}">
              <c16:uniqueId val="{00000000-7A30-4F55-8D0B-58669E3495EC}"/>
            </c:ext>
          </c:extLst>
        </c:ser>
        <c:dLbls>
          <c:showLegendKey val="0"/>
          <c:showVal val="0"/>
          <c:showCatName val="0"/>
          <c:showSerName val="0"/>
          <c:showPercent val="0"/>
          <c:showBubbleSize val="0"/>
        </c:dLbls>
        <c:marker val="1"/>
        <c:smooth val="0"/>
        <c:axId val="431912607"/>
        <c:axId val="431914047"/>
      </c:lineChart>
      <c:catAx>
        <c:axId val="43191260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4047"/>
        <c:crosses val="autoZero"/>
        <c:auto val="1"/>
        <c:lblAlgn val="ctr"/>
        <c:lblOffset val="100"/>
        <c:noMultiLvlLbl val="0"/>
      </c:catAx>
      <c:valAx>
        <c:axId val="4319140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Data.csv.xlsx]Stock Levels by SKU!PivotTable5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Top 10 Stock Levels by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'Stock Levels by SKU'!$B$3</c:f>
              <c:strCache>
                <c:ptCount val="1"/>
                <c:pt idx="0">
                  <c:v>Total</c:v>
                </c:pt>
              </c:strCache>
            </c:strRef>
          </c:tx>
          <c:spPr>
            <a:ln w="28575" cap="rnd">
              <a:solidFill>
                <a:srgbClr val="D8E8F2"/>
              </a:solidFill>
              <a:round/>
            </a:ln>
            <a:effectLst/>
          </c:spPr>
          <c:marker>
            <c:symbol val="circle"/>
            <c:size val="5"/>
            <c:spPr>
              <a:solidFill>
                <a:srgbClr val="365B73"/>
              </a:solidFill>
              <a:ln w="9525">
                <a:solidFill>
                  <a:schemeClr val="accent1"/>
                </a:solidFill>
              </a:ln>
              <a:effectLst/>
            </c:spPr>
          </c:marker>
          <c:cat>
            <c:strRef>
              <c:f>'Stock Levels by SKU'!$A$4:$A$15</c:f>
              <c:strCache>
                <c:ptCount val="11"/>
                <c:pt idx="0">
                  <c:v>SKU12</c:v>
                </c:pt>
                <c:pt idx="1">
                  <c:v>SKU45</c:v>
                </c:pt>
                <c:pt idx="2">
                  <c:v>SKU49</c:v>
                </c:pt>
                <c:pt idx="3">
                  <c:v>SKU51</c:v>
                </c:pt>
                <c:pt idx="4">
                  <c:v>SKU53</c:v>
                </c:pt>
                <c:pt idx="5">
                  <c:v>SKU55</c:v>
                </c:pt>
                <c:pt idx="6">
                  <c:v>SKU59</c:v>
                </c:pt>
                <c:pt idx="7">
                  <c:v>SKU69</c:v>
                </c:pt>
                <c:pt idx="8">
                  <c:v>SKU7</c:v>
                </c:pt>
                <c:pt idx="9">
                  <c:v>SKU77</c:v>
                </c:pt>
                <c:pt idx="10">
                  <c:v>SKU91</c:v>
                </c:pt>
              </c:strCache>
            </c:strRef>
          </c:cat>
          <c:val>
            <c:numRef>
              <c:f>'Stock Levels by SKU'!$B$4:$B$15</c:f>
              <c:numCache>
                <c:formatCode>0</c:formatCode>
                <c:ptCount val="11"/>
                <c:pt idx="0">
                  <c:v>100</c:v>
                </c:pt>
                <c:pt idx="1">
                  <c:v>93</c:v>
                </c:pt>
                <c:pt idx="2">
                  <c:v>97</c:v>
                </c:pt>
                <c:pt idx="3">
                  <c:v>100</c:v>
                </c:pt>
                <c:pt idx="4">
                  <c:v>96</c:v>
                </c:pt>
                <c:pt idx="5">
                  <c:v>97</c:v>
                </c:pt>
                <c:pt idx="6">
                  <c:v>100</c:v>
                </c:pt>
                <c:pt idx="7">
                  <c:v>95</c:v>
                </c:pt>
                <c:pt idx="8">
                  <c:v>93</c:v>
                </c:pt>
                <c:pt idx="9">
                  <c:v>96</c:v>
                </c:pt>
                <c:pt idx="10">
                  <c:v>98</c:v>
                </c:pt>
              </c:numCache>
            </c:numRef>
          </c:val>
          <c:smooth val="0"/>
          <c:extLst>
            <c:ext xmlns:c16="http://schemas.microsoft.com/office/drawing/2014/chart" uri="{C3380CC4-5D6E-409C-BE32-E72D297353CC}">
              <c16:uniqueId val="{00000000-3864-4162-BCF2-905733474082}"/>
            </c:ext>
          </c:extLst>
        </c:ser>
        <c:dLbls>
          <c:showLegendKey val="0"/>
          <c:showVal val="0"/>
          <c:showCatName val="0"/>
          <c:showSerName val="0"/>
          <c:showPercent val="0"/>
          <c:showBubbleSize val="0"/>
        </c:dLbls>
        <c:marker val="1"/>
        <c:smooth val="0"/>
        <c:axId val="431905407"/>
        <c:axId val="431921247"/>
      </c:lineChart>
      <c:catAx>
        <c:axId val="43190540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1247"/>
        <c:crosses val="autoZero"/>
        <c:auto val="1"/>
        <c:lblAlgn val="ctr"/>
        <c:lblOffset val="100"/>
        <c:noMultiLvlLbl val="0"/>
      </c:catAx>
      <c:valAx>
        <c:axId val="431921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Data.csv.xlsx]Shipping Costs by Carriers!PivotTable6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Shipping Costs by Carriers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'Shipping Costs by Carriers'!$B$3</c:f>
              <c:strCache>
                <c:ptCount val="1"/>
                <c:pt idx="0">
                  <c:v>Total</c:v>
                </c:pt>
              </c:strCache>
            </c:strRef>
          </c:tx>
          <c:spPr>
            <a:solidFill>
              <a:srgbClr val="D8E8F2"/>
            </a:solidFill>
            <a:ln>
              <a:noFill/>
            </a:ln>
            <a:effectLst/>
            <a:sp3d/>
          </c:spPr>
          <c:invertIfNegative val="0"/>
          <c:cat>
            <c:strRef>
              <c:f>'Shipping Costs by Carriers'!$A$4:$A$7</c:f>
              <c:strCache>
                <c:ptCount val="3"/>
                <c:pt idx="0">
                  <c:v>Carrier A</c:v>
                </c:pt>
                <c:pt idx="1">
                  <c:v>Carrier B</c:v>
                </c:pt>
                <c:pt idx="2">
                  <c:v>Carrier C</c:v>
                </c:pt>
              </c:strCache>
            </c:strRef>
          </c:cat>
          <c:val>
            <c:numRef>
              <c:f>'Shipping Costs by Carriers'!$B$4:$B$7</c:f>
              <c:numCache>
                <c:formatCode>"$"#,##0.00</c:formatCode>
                <c:ptCount val="3"/>
                <c:pt idx="0">
                  <c:v>155.54000000000002</c:v>
                </c:pt>
                <c:pt idx="1">
                  <c:v>236.88999999999993</c:v>
                </c:pt>
                <c:pt idx="2">
                  <c:v>162.38999999999999</c:v>
                </c:pt>
              </c:numCache>
            </c:numRef>
          </c:val>
          <c:extLst>
            <c:ext xmlns:c16="http://schemas.microsoft.com/office/drawing/2014/chart" uri="{C3380CC4-5D6E-409C-BE32-E72D297353CC}">
              <c16:uniqueId val="{00000000-C6B6-46D7-832A-686013585AA7}"/>
            </c:ext>
          </c:extLst>
        </c:ser>
        <c:dLbls>
          <c:showLegendKey val="0"/>
          <c:showVal val="0"/>
          <c:showCatName val="0"/>
          <c:showSerName val="0"/>
          <c:showPercent val="0"/>
          <c:showBubbleSize val="0"/>
        </c:dLbls>
        <c:gapWidth val="150"/>
        <c:shape val="box"/>
        <c:axId val="431925087"/>
        <c:axId val="431926047"/>
        <c:axId val="0"/>
      </c:bar3DChart>
      <c:catAx>
        <c:axId val="431925087"/>
        <c:scaling>
          <c:orientation val="minMax"/>
        </c:scaling>
        <c:delete val="0"/>
        <c:axPos val="b"/>
        <c:numFmt formatCode="General" sourceLinked="1"/>
        <c:majorTickMark val="none"/>
        <c:minorTickMark val="none"/>
        <c:tickLblPos val="nextTo"/>
        <c:spPr>
          <a:noFill/>
          <a:ln>
            <a:solidFill>
              <a:srgbClr val="365B73"/>
            </a:solid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6047"/>
        <c:crosses val="autoZero"/>
        <c:auto val="1"/>
        <c:lblAlgn val="ctr"/>
        <c:lblOffset val="100"/>
        <c:noMultiLvlLbl val="0"/>
      </c:catAx>
      <c:valAx>
        <c:axId val="4319260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Data.csv.xlsx]Transport Cost Distribution!PivotTable8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Cost Distribution by Transport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'Transport Cost Distribution'!$B$3</c:f>
              <c:strCache>
                <c:ptCount val="1"/>
                <c:pt idx="0">
                  <c:v>Total</c:v>
                </c:pt>
              </c:strCache>
            </c:strRef>
          </c:tx>
          <c:spPr>
            <a:solidFill>
              <a:srgbClr val="D8E8F2"/>
            </a:solidFill>
            <a:ln>
              <a:noFill/>
            </a:ln>
            <a:effectLst/>
          </c:spPr>
          <c:invertIfNegative val="0"/>
          <c:cat>
            <c:strRef>
              <c:f>'Transport Cost Distribution'!$A$4:$A$8</c:f>
              <c:strCache>
                <c:ptCount val="4"/>
                <c:pt idx="0">
                  <c:v>Air</c:v>
                </c:pt>
                <c:pt idx="1">
                  <c:v>Rail</c:v>
                </c:pt>
                <c:pt idx="2">
                  <c:v>Road</c:v>
                </c:pt>
                <c:pt idx="3">
                  <c:v>Sea</c:v>
                </c:pt>
              </c:strCache>
            </c:strRef>
          </c:cat>
          <c:val>
            <c:numRef>
              <c:f>'Transport Cost Distribution'!$B$4:$B$8</c:f>
              <c:numCache>
                <c:formatCode>"$"#,##0.00</c:formatCode>
                <c:ptCount val="4"/>
                <c:pt idx="0">
                  <c:v>156.45999999999998</c:v>
                </c:pt>
                <c:pt idx="1">
                  <c:v>153.13999999999996</c:v>
                </c:pt>
                <c:pt idx="2">
                  <c:v>160.72999999999999</c:v>
                </c:pt>
                <c:pt idx="3">
                  <c:v>84.489999999999981</c:v>
                </c:pt>
              </c:numCache>
            </c:numRef>
          </c:val>
          <c:extLst>
            <c:ext xmlns:c16="http://schemas.microsoft.com/office/drawing/2014/chart" uri="{C3380CC4-5D6E-409C-BE32-E72D297353CC}">
              <c16:uniqueId val="{00000000-95D5-437B-9C9D-5F9B5F528A1D}"/>
            </c:ext>
          </c:extLst>
        </c:ser>
        <c:dLbls>
          <c:showLegendKey val="0"/>
          <c:showVal val="0"/>
          <c:showCatName val="0"/>
          <c:showSerName val="0"/>
          <c:showPercent val="0"/>
          <c:showBubbleSize val="0"/>
        </c:dLbls>
        <c:gapWidth val="219"/>
        <c:overlap val="-27"/>
        <c:axId val="431915487"/>
        <c:axId val="431928447"/>
      </c:barChart>
      <c:catAx>
        <c:axId val="43191548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8447"/>
        <c:crosses val="autoZero"/>
        <c:auto val="1"/>
        <c:lblAlgn val="ctr"/>
        <c:lblOffset val="100"/>
        <c:noMultiLvlLbl val="0"/>
      </c:catAx>
      <c:valAx>
        <c:axId val="4319284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Data.csv.xlsx]Avg Defect Rate by PM &amp; TM!PivotTable9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Average Defect</a:t>
            </a:r>
            <a:r>
              <a:rPr lang="en-US" sz="1000" b="1" baseline="0">
                <a:solidFill>
                  <a:srgbClr val="365B73"/>
                </a:solidFill>
                <a:latin typeface="Candara" panose="020E0502030303020204" pitchFamily="34" charset="0"/>
              </a:rPr>
              <a:t> Rate by Product Type &amp; Transport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65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3A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Defect Rate by PM &amp; TM'!$B$3:$B$4</c:f>
              <c:strCache>
                <c:ptCount val="1"/>
                <c:pt idx="0">
                  <c:v>Air</c:v>
                </c:pt>
              </c:strCache>
            </c:strRef>
          </c:tx>
          <c:spPr>
            <a:solidFill>
              <a:schemeClr val="bg1">
                <a:lumMod val="75000"/>
              </a:schemeClr>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TM'!$B$5:$B$8</c:f>
              <c:numCache>
                <c:formatCode>0.00%</c:formatCode>
                <c:ptCount val="3"/>
                <c:pt idx="0">
                  <c:v>3.9938126329463856E-3</c:v>
                </c:pt>
                <c:pt idx="1">
                  <c:v>2.9247087934532422E-2</c:v>
                </c:pt>
                <c:pt idx="2">
                  <c:v>1.6944181172651132E-2</c:v>
                </c:pt>
              </c:numCache>
            </c:numRef>
          </c:val>
          <c:extLst>
            <c:ext xmlns:c16="http://schemas.microsoft.com/office/drawing/2014/chart" uri="{C3380CC4-5D6E-409C-BE32-E72D297353CC}">
              <c16:uniqueId val="{00000000-7BF8-47F3-9A38-85F8DEEB2AC0}"/>
            </c:ext>
          </c:extLst>
        </c:ser>
        <c:ser>
          <c:idx val="1"/>
          <c:order val="1"/>
          <c:tx>
            <c:strRef>
              <c:f>'Avg Defect Rate by PM &amp; TM'!$C$3:$C$4</c:f>
              <c:strCache>
                <c:ptCount val="1"/>
                <c:pt idx="0">
                  <c:v>Rail</c:v>
                </c:pt>
              </c:strCache>
            </c:strRef>
          </c:tx>
          <c:spPr>
            <a:solidFill>
              <a:srgbClr val="365B73"/>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TM'!$C$5:$C$8</c:f>
              <c:numCache>
                <c:formatCode>0.00%</c:formatCode>
                <c:ptCount val="3"/>
                <c:pt idx="0">
                  <c:v>2.1588410218392435E-2</c:v>
                </c:pt>
                <c:pt idx="1">
                  <c:v>1.9593179653067765E-2</c:v>
                </c:pt>
                <c:pt idx="2">
                  <c:v>2.8782267320882085E-2</c:v>
                </c:pt>
              </c:numCache>
            </c:numRef>
          </c:val>
          <c:extLst>
            <c:ext xmlns:c16="http://schemas.microsoft.com/office/drawing/2014/chart" uri="{C3380CC4-5D6E-409C-BE32-E72D297353CC}">
              <c16:uniqueId val="{00000001-7BF8-47F3-9A38-85F8DEEB2AC0}"/>
            </c:ext>
          </c:extLst>
        </c:ser>
        <c:ser>
          <c:idx val="2"/>
          <c:order val="2"/>
          <c:tx>
            <c:strRef>
              <c:f>'Avg Defect Rate by PM &amp; TM'!$D$3:$D$4</c:f>
              <c:strCache>
                <c:ptCount val="1"/>
                <c:pt idx="0">
                  <c:v>Road</c:v>
                </c:pt>
              </c:strCache>
            </c:strRef>
          </c:tx>
          <c:spPr>
            <a:solidFill>
              <a:srgbClr val="D8E8F2"/>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TM'!$D$5:$D$8</c:f>
              <c:numCache>
                <c:formatCode>0.00%</c:formatCode>
                <c:ptCount val="3"/>
                <c:pt idx="0">
                  <c:v>2.7036749128426116E-2</c:v>
                </c:pt>
                <c:pt idx="1">
                  <c:v>4.1066170327042177E-2</c:v>
                </c:pt>
                <c:pt idx="2">
                  <c:v>2.9927625004564227E-2</c:v>
                </c:pt>
              </c:numCache>
            </c:numRef>
          </c:val>
          <c:extLst>
            <c:ext xmlns:c16="http://schemas.microsoft.com/office/drawing/2014/chart" uri="{C3380CC4-5D6E-409C-BE32-E72D297353CC}">
              <c16:uniqueId val="{00000002-7BF8-47F3-9A38-85F8DEEB2AC0}"/>
            </c:ext>
          </c:extLst>
        </c:ser>
        <c:ser>
          <c:idx val="3"/>
          <c:order val="3"/>
          <c:tx>
            <c:strRef>
              <c:f>'Avg Defect Rate by PM &amp; TM'!$E$3:$E$4</c:f>
              <c:strCache>
                <c:ptCount val="1"/>
                <c:pt idx="0">
                  <c:v>Sea</c:v>
                </c:pt>
              </c:strCache>
            </c:strRef>
          </c:tx>
          <c:spPr>
            <a:solidFill>
              <a:srgbClr val="93AEBF"/>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TM'!$E$5:$E$8</c:f>
              <c:numCache>
                <c:formatCode>0.00%</c:formatCode>
                <c:ptCount val="3"/>
                <c:pt idx="0">
                  <c:v>2.0421560742053556E-2</c:v>
                </c:pt>
                <c:pt idx="1">
                  <c:v>3.6428694726088395E-2</c:v>
                </c:pt>
                <c:pt idx="2">
                  <c:v>1.7907668087069024E-2</c:v>
                </c:pt>
              </c:numCache>
            </c:numRef>
          </c:val>
          <c:extLst>
            <c:ext xmlns:c16="http://schemas.microsoft.com/office/drawing/2014/chart" uri="{C3380CC4-5D6E-409C-BE32-E72D297353CC}">
              <c16:uniqueId val="{00000003-7BF8-47F3-9A38-85F8DEEB2AC0}"/>
            </c:ext>
          </c:extLst>
        </c:ser>
        <c:dLbls>
          <c:showLegendKey val="0"/>
          <c:showVal val="0"/>
          <c:showCatName val="0"/>
          <c:showSerName val="0"/>
          <c:showPercent val="0"/>
          <c:showBubbleSize val="0"/>
        </c:dLbls>
        <c:gapWidth val="219"/>
        <c:overlap val="-27"/>
        <c:axId val="431935167"/>
        <c:axId val="431940447"/>
      </c:barChart>
      <c:catAx>
        <c:axId val="4319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40447"/>
        <c:crosses val="autoZero"/>
        <c:auto val="1"/>
        <c:lblAlgn val="ctr"/>
        <c:lblOffset val="100"/>
        <c:noMultiLvlLbl val="0"/>
      </c:catAx>
      <c:valAx>
        <c:axId val="4319404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4319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Data.csv.xlsx]Price vs Revenue Analysis!PivotTable1</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Price vs Revenue by Product Type</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65B7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a:sp3d/>
        </c:spPr>
      </c:pivotFmt>
      <c:pivotFmt>
        <c:idx val="3"/>
        <c:spPr>
          <a:solidFill>
            <a:srgbClr val="D8E8F2"/>
          </a:solidFill>
          <a:ln>
            <a:noFill/>
          </a:ln>
          <a:effectLst/>
          <a:sp3d/>
        </c:spPr>
      </c:pivotFmt>
      <c:pivotFmt>
        <c:idx val="4"/>
        <c:spPr>
          <a:solidFill>
            <a:srgbClr val="D8E8F2"/>
          </a:solidFill>
          <a:ln>
            <a:noFill/>
          </a:ln>
          <a:effectLst/>
          <a:sp3d/>
        </c:spPr>
      </c:pivotFmt>
      <c:pivotFmt>
        <c:idx val="5"/>
        <c:spPr>
          <a:solidFill>
            <a:srgbClr val="365B7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65B7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'Price vs Revenue Analysis'!$B$3</c:f>
              <c:strCache>
                <c:ptCount val="1"/>
                <c:pt idx="0">
                  <c:v>Average Price</c:v>
                </c:pt>
              </c:strCache>
            </c:strRef>
          </c:tx>
          <c:spPr>
            <a:solidFill>
              <a:srgbClr val="365B73"/>
            </a:solidFill>
            <a:ln>
              <a:noFill/>
            </a:ln>
            <a:effectLst/>
            <a:sp3d/>
          </c:spPr>
          <c:invertIfNegative val="0"/>
          <c:cat>
            <c:strRef>
              <c:f>'Price vs Revenue Analysis'!$A$4:$A$7</c:f>
              <c:strCache>
                <c:ptCount val="3"/>
                <c:pt idx="0">
                  <c:v>Cosmetics</c:v>
                </c:pt>
                <c:pt idx="1">
                  <c:v>Haircare</c:v>
                </c:pt>
                <c:pt idx="2">
                  <c:v>Skincare</c:v>
                </c:pt>
              </c:strCache>
            </c:strRef>
          </c:cat>
          <c:val>
            <c:numRef>
              <c:f>'Price vs Revenue Analysis'!$B$4:$B$7</c:f>
              <c:numCache>
                <c:formatCode>"$"#,##0.00</c:formatCode>
                <c:ptCount val="3"/>
                <c:pt idx="0">
                  <c:v>57.361153846153847</c:v>
                </c:pt>
                <c:pt idx="1">
                  <c:v>46.014117647058818</c:v>
                </c:pt>
                <c:pt idx="2">
                  <c:v>47.259499999999989</c:v>
                </c:pt>
              </c:numCache>
            </c:numRef>
          </c:val>
          <c:extLst>
            <c:ext xmlns:c16="http://schemas.microsoft.com/office/drawing/2014/chart" uri="{C3380CC4-5D6E-409C-BE32-E72D297353CC}">
              <c16:uniqueId val="{00000000-1E53-4D81-A525-8E884D2BBA55}"/>
            </c:ext>
          </c:extLst>
        </c:ser>
        <c:ser>
          <c:idx val="1"/>
          <c:order val="1"/>
          <c:tx>
            <c:strRef>
              <c:f>'Price vs Revenue Analysis'!$C$3</c:f>
              <c:strCache>
                <c:ptCount val="1"/>
                <c:pt idx="0">
                  <c:v>Sum Revenue</c:v>
                </c:pt>
              </c:strCache>
            </c:strRef>
          </c:tx>
          <c:spPr>
            <a:solidFill>
              <a:srgbClr val="D8E8F2"/>
            </a:solidFill>
            <a:ln>
              <a:noFill/>
            </a:ln>
            <a:effectLst/>
            <a:sp3d/>
          </c:spPr>
          <c:invertIfNegative val="0"/>
          <c:cat>
            <c:strRef>
              <c:f>'Price vs Revenue Analysis'!$A$4:$A$7</c:f>
              <c:strCache>
                <c:ptCount val="3"/>
                <c:pt idx="0">
                  <c:v>Cosmetics</c:v>
                </c:pt>
                <c:pt idx="1">
                  <c:v>Haircare</c:v>
                </c:pt>
                <c:pt idx="2">
                  <c:v>Skincare</c:v>
                </c:pt>
              </c:strCache>
            </c:strRef>
          </c:cat>
          <c:val>
            <c:numRef>
              <c:f>'Price vs Revenue Analysis'!$C$4:$C$7</c:f>
              <c:numCache>
                <c:formatCode>"$"#,##0.00</c:formatCode>
                <c:ptCount val="3"/>
                <c:pt idx="0">
                  <c:v>161521.26999999996</c:v>
                </c:pt>
                <c:pt idx="1">
                  <c:v>174455.41999999998</c:v>
                </c:pt>
                <c:pt idx="2">
                  <c:v>241628.17</c:v>
                </c:pt>
              </c:numCache>
            </c:numRef>
          </c:val>
          <c:extLst>
            <c:ext xmlns:c16="http://schemas.microsoft.com/office/drawing/2014/chart" uri="{C3380CC4-5D6E-409C-BE32-E72D297353CC}">
              <c16:uniqueId val="{00000001-1E53-4D81-A525-8E884D2BBA55}"/>
            </c:ext>
          </c:extLst>
        </c:ser>
        <c:dLbls>
          <c:showLegendKey val="0"/>
          <c:showVal val="0"/>
          <c:showCatName val="0"/>
          <c:showSerName val="0"/>
          <c:showPercent val="0"/>
          <c:showBubbleSize val="0"/>
        </c:dLbls>
        <c:gapWidth val="150"/>
        <c:shape val="box"/>
        <c:axId val="229346911"/>
        <c:axId val="229367071"/>
        <c:axId val="0"/>
      </c:bar3DChart>
      <c:catAx>
        <c:axId val="229346911"/>
        <c:scaling>
          <c:orientation val="minMax"/>
        </c:scaling>
        <c:delete val="0"/>
        <c:axPos val="b"/>
        <c:numFmt formatCode="General" sourceLinked="1"/>
        <c:majorTickMark val="none"/>
        <c:minorTickMark val="none"/>
        <c:tickLblPos val="nextTo"/>
        <c:spPr>
          <a:noFill/>
          <a:ln>
            <a:solidFill>
              <a:srgbClr val="365B73"/>
            </a:solid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229367071"/>
        <c:crosses val="autoZero"/>
        <c:auto val="1"/>
        <c:lblAlgn val="ctr"/>
        <c:lblOffset val="100"/>
        <c:noMultiLvlLbl val="0"/>
      </c:catAx>
      <c:valAx>
        <c:axId val="22936707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22934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Data.csv.xlsx]Sales Percentage by Product Typ!PivotTable2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Sales Distribution by Product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w="19050">
            <a:noFill/>
          </a:ln>
          <a:effectLst/>
        </c:spPr>
      </c:pivotFmt>
      <c:pivotFmt>
        <c:idx val="2"/>
        <c:spPr>
          <a:solidFill>
            <a:srgbClr val="365B73"/>
          </a:solidFill>
          <a:ln w="19050">
            <a:noFill/>
          </a:ln>
          <a:effectLst/>
        </c:spPr>
      </c:pivotFmt>
      <c:pivotFmt>
        <c:idx val="3"/>
        <c:spPr>
          <a:solidFill>
            <a:srgbClr val="93AEBF"/>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65B73"/>
          </a:solidFill>
          <a:ln w="19050">
            <a:noFill/>
          </a:ln>
          <a:effectLst/>
        </c:spPr>
      </c:pivotFmt>
      <c:pivotFmt>
        <c:idx val="6"/>
        <c:spPr>
          <a:solidFill>
            <a:srgbClr val="93AEBF"/>
          </a:solidFill>
          <a:ln w="19050">
            <a:noFill/>
          </a:ln>
          <a:effectLst/>
        </c:spPr>
      </c:pivotFmt>
      <c:pivotFmt>
        <c:idx val="7"/>
        <c:spPr>
          <a:solidFill>
            <a:srgbClr val="D8E8F2"/>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65B73"/>
          </a:solidFill>
          <a:ln w="19050">
            <a:noFill/>
          </a:ln>
          <a:effectLst/>
        </c:spPr>
      </c:pivotFmt>
      <c:pivotFmt>
        <c:idx val="10"/>
        <c:spPr>
          <a:solidFill>
            <a:srgbClr val="93AEBF"/>
          </a:solidFill>
          <a:ln w="19050">
            <a:noFill/>
          </a:ln>
          <a:effectLst/>
        </c:spPr>
      </c:pivotFmt>
      <c:pivotFmt>
        <c:idx val="11"/>
        <c:spPr>
          <a:solidFill>
            <a:srgbClr val="D8E8F2"/>
          </a:solidFill>
          <a:ln w="19050">
            <a:noFill/>
          </a:ln>
          <a:effectLst/>
        </c:spPr>
      </c:pivotFmt>
    </c:pivotFmts>
    <c:plotArea>
      <c:layout/>
      <c:doughnutChart>
        <c:varyColors val="1"/>
        <c:ser>
          <c:idx val="0"/>
          <c:order val="0"/>
          <c:tx>
            <c:strRef>
              <c:f>'Sales Percentage by Product Typ'!$B$3</c:f>
              <c:strCache>
                <c:ptCount val="1"/>
                <c:pt idx="0">
                  <c:v>Total</c:v>
                </c:pt>
              </c:strCache>
            </c:strRef>
          </c:tx>
          <c:spPr>
            <a:ln>
              <a:noFill/>
            </a:ln>
          </c:spPr>
          <c:dPt>
            <c:idx val="0"/>
            <c:bubble3D val="0"/>
            <c:spPr>
              <a:solidFill>
                <a:srgbClr val="365B73"/>
              </a:solidFill>
              <a:ln w="19050">
                <a:noFill/>
              </a:ln>
              <a:effectLst/>
            </c:spPr>
            <c:extLst>
              <c:ext xmlns:c16="http://schemas.microsoft.com/office/drawing/2014/chart" uri="{C3380CC4-5D6E-409C-BE32-E72D297353CC}">
                <c16:uniqueId val="{00000001-C4AB-4106-B13D-E46E789C7A0B}"/>
              </c:ext>
            </c:extLst>
          </c:dPt>
          <c:dPt>
            <c:idx val="1"/>
            <c:bubble3D val="0"/>
            <c:spPr>
              <a:solidFill>
                <a:srgbClr val="93AEBF"/>
              </a:solidFill>
              <a:ln w="19050">
                <a:noFill/>
              </a:ln>
              <a:effectLst/>
            </c:spPr>
            <c:extLst>
              <c:ext xmlns:c16="http://schemas.microsoft.com/office/drawing/2014/chart" uri="{C3380CC4-5D6E-409C-BE32-E72D297353CC}">
                <c16:uniqueId val="{00000003-C4AB-4106-B13D-E46E789C7A0B}"/>
              </c:ext>
            </c:extLst>
          </c:dPt>
          <c:dPt>
            <c:idx val="2"/>
            <c:bubble3D val="0"/>
            <c:spPr>
              <a:solidFill>
                <a:srgbClr val="D8E8F2"/>
              </a:solidFill>
              <a:ln w="19050">
                <a:noFill/>
              </a:ln>
              <a:effectLst/>
            </c:spPr>
            <c:extLst>
              <c:ext xmlns:c16="http://schemas.microsoft.com/office/drawing/2014/chart" uri="{C3380CC4-5D6E-409C-BE32-E72D297353CC}">
                <c16:uniqueId val="{00000005-C4AB-4106-B13D-E46E789C7A0B}"/>
              </c:ext>
            </c:extLst>
          </c:dPt>
          <c:cat>
            <c:strRef>
              <c:f>'Sales Percentage by Product Typ'!$A$4:$A$7</c:f>
              <c:strCache>
                <c:ptCount val="3"/>
                <c:pt idx="0">
                  <c:v>Cosmetics</c:v>
                </c:pt>
                <c:pt idx="1">
                  <c:v>Haircare</c:v>
                </c:pt>
                <c:pt idx="2">
                  <c:v>Skincare</c:v>
                </c:pt>
              </c:strCache>
            </c:strRef>
          </c:cat>
          <c:val>
            <c:numRef>
              <c:f>'Sales Percentage by Product Typ'!$B$4:$B$7</c:f>
              <c:numCache>
                <c:formatCode>0.00%</c:formatCode>
                <c:ptCount val="3"/>
                <c:pt idx="0">
                  <c:v>0.25503807024013536</c:v>
                </c:pt>
                <c:pt idx="1">
                  <c:v>0.29525586238313195</c:v>
                </c:pt>
                <c:pt idx="2">
                  <c:v>0.44970606737673269</c:v>
                </c:pt>
              </c:numCache>
            </c:numRef>
          </c:val>
          <c:extLst>
            <c:ext xmlns:c16="http://schemas.microsoft.com/office/drawing/2014/chart" uri="{C3380CC4-5D6E-409C-BE32-E72D297353CC}">
              <c16:uniqueId val="{00000006-C4AB-4106-B13D-E46E789C7A0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Data.csv.xlsx]Revenue by Carriers!PivotTable3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Revenue by Shipping Carriers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Carriers'!$B$3</c:f>
              <c:strCache>
                <c:ptCount val="1"/>
                <c:pt idx="0">
                  <c:v>Total</c:v>
                </c:pt>
              </c:strCache>
            </c:strRef>
          </c:tx>
          <c:spPr>
            <a:solidFill>
              <a:srgbClr val="D8E8F2"/>
            </a:solidFill>
            <a:ln>
              <a:noFill/>
            </a:ln>
            <a:effectLst/>
          </c:spPr>
          <c:invertIfNegative val="0"/>
          <c:cat>
            <c:strRef>
              <c:f>'Revenue by Carriers'!$A$4:$A$7</c:f>
              <c:strCache>
                <c:ptCount val="3"/>
                <c:pt idx="0">
                  <c:v>Carrier A</c:v>
                </c:pt>
                <c:pt idx="1">
                  <c:v>Carrier B</c:v>
                </c:pt>
                <c:pt idx="2">
                  <c:v>Carrier C</c:v>
                </c:pt>
              </c:strCache>
            </c:strRef>
          </c:cat>
          <c:val>
            <c:numRef>
              <c:f>'Revenue by Carriers'!$B$4:$B$7</c:f>
              <c:numCache>
                <c:formatCode>"$"#,##0.00</c:formatCode>
                <c:ptCount val="3"/>
                <c:pt idx="0">
                  <c:v>142630.03999999998</c:v>
                </c:pt>
                <c:pt idx="1">
                  <c:v>250094.64</c:v>
                </c:pt>
                <c:pt idx="2">
                  <c:v>184880.18</c:v>
                </c:pt>
              </c:numCache>
            </c:numRef>
          </c:val>
          <c:extLst>
            <c:ext xmlns:c16="http://schemas.microsoft.com/office/drawing/2014/chart" uri="{C3380CC4-5D6E-409C-BE32-E72D297353CC}">
              <c16:uniqueId val="{00000000-2397-4B77-B733-6A9E1E12F75C}"/>
            </c:ext>
          </c:extLst>
        </c:ser>
        <c:dLbls>
          <c:showLegendKey val="0"/>
          <c:showVal val="0"/>
          <c:showCatName val="0"/>
          <c:showSerName val="0"/>
          <c:showPercent val="0"/>
          <c:showBubbleSize val="0"/>
        </c:dLbls>
        <c:gapWidth val="219"/>
        <c:overlap val="-27"/>
        <c:axId val="380021295"/>
        <c:axId val="380044815"/>
      </c:barChart>
      <c:catAx>
        <c:axId val="380021295"/>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380044815"/>
        <c:crosses val="autoZero"/>
        <c:auto val="1"/>
        <c:lblAlgn val="ctr"/>
        <c:lblOffset val="100"/>
        <c:noMultiLvlLbl val="0"/>
      </c:catAx>
      <c:valAx>
        <c:axId val="380044815"/>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38002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Data.csv.xlsx]SKU(s) by Revenue!PivotTable4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Top 10 SKU(s)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'SKU(s) by Revenue'!$B$3</c:f>
              <c:strCache>
                <c:ptCount val="1"/>
                <c:pt idx="0">
                  <c:v>Total</c:v>
                </c:pt>
              </c:strCache>
            </c:strRef>
          </c:tx>
          <c:spPr>
            <a:ln w="28575" cap="rnd">
              <a:solidFill>
                <a:srgbClr val="D8E8F2"/>
              </a:solidFill>
              <a:round/>
            </a:ln>
            <a:effectLst/>
          </c:spPr>
          <c:marker>
            <c:symbol val="circle"/>
            <c:size val="5"/>
            <c:spPr>
              <a:solidFill>
                <a:srgbClr val="365B73"/>
              </a:solidFill>
              <a:ln w="9525">
                <a:solidFill>
                  <a:schemeClr val="accent1"/>
                </a:solidFill>
              </a:ln>
              <a:effectLst/>
            </c:spPr>
          </c:marker>
          <c:cat>
            <c:strRef>
              <c:f>'SKU(s) by Revenue'!$A$4:$A$14</c:f>
              <c:strCache>
                <c:ptCount val="10"/>
                <c:pt idx="0">
                  <c:v>SKU18</c:v>
                </c:pt>
                <c:pt idx="1">
                  <c:v>SKU2</c:v>
                </c:pt>
                <c:pt idx="2">
                  <c:v>SKU31</c:v>
                </c:pt>
                <c:pt idx="3">
                  <c:v>SKU32</c:v>
                </c:pt>
                <c:pt idx="4">
                  <c:v>SKU38</c:v>
                </c:pt>
                <c:pt idx="5">
                  <c:v>SKU51</c:v>
                </c:pt>
                <c:pt idx="6">
                  <c:v>SKU52</c:v>
                </c:pt>
                <c:pt idx="7">
                  <c:v>SKU67</c:v>
                </c:pt>
                <c:pt idx="8">
                  <c:v>SKU88</c:v>
                </c:pt>
                <c:pt idx="9">
                  <c:v>SKU90</c:v>
                </c:pt>
              </c:strCache>
            </c:strRef>
          </c:cat>
          <c:val>
            <c:numRef>
              <c:f>'SKU(s) by Revenue'!$B$4:$B$14</c:f>
              <c:numCache>
                <c:formatCode>"$"#,##0.00</c:formatCode>
                <c:ptCount val="10"/>
                <c:pt idx="0">
                  <c:v>9364.67</c:v>
                </c:pt>
                <c:pt idx="1">
                  <c:v>9577.75</c:v>
                </c:pt>
                <c:pt idx="2">
                  <c:v>9655.14</c:v>
                </c:pt>
                <c:pt idx="3">
                  <c:v>9571.5499999999993</c:v>
                </c:pt>
                <c:pt idx="4">
                  <c:v>9692.32</c:v>
                </c:pt>
                <c:pt idx="5">
                  <c:v>9866.4699999999993</c:v>
                </c:pt>
                <c:pt idx="6">
                  <c:v>9435.76</c:v>
                </c:pt>
                <c:pt idx="7">
                  <c:v>9473.7999999999993</c:v>
                </c:pt>
                <c:pt idx="8">
                  <c:v>9444.74</c:v>
                </c:pt>
                <c:pt idx="9">
                  <c:v>9592.6299999999992</c:v>
                </c:pt>
              </c:numCache>
            </c:numRef>
          </c:val>
          <c:smooth val="0"/>
          <c:extLst>
            <c:ext xmlns:c16="http://schemas.microsoft.com/office/drawing/2014/chart" uri="{C3380CC4-5D6E-409C-BE32-E72D297353CC}">
              <c16:uniqueId val="{00000000-50B1-4BD9-B03A-F0A9A02106E5}"/>
            </c:ext>
          </c:extLst>
        </c:ser>
        <c:dLbls>
          <c:showLegendKey val="0"/>
          <c:showVal val="0"/>
          <c:showCatName val="0"/>
          <c:showSerName val="0"/>
          <c:showPercent val="0"/>
          <c:showBubbleSize val="0"/>
        </c:dLbls>
        <c:marker val="1"/>
        <c:smooth val="0"/>
        <c:axId val="431912607"/>
        <c:axId val="431914047"/>
      </c:lineChart>
      <c:catAx>
        <c:axId val="43191260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4047"/>
        <c:crosses val="autoZero"/>
        <c:auto val="1"/>
        <c:lblAlgn val="ctr"/>
        <c:lblOffset val="100"/>
        <c:noMultiLvlLbl val="0"/>
      </c:catAx>
      <c:valAx>
        <c:axId val="4319140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Data.csv.xlsx]Stock Levels by SKU!PivotTable5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Top 10 Stock Levels by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D8E8F2"/>
            </a:solidFill>
            <a:round/>
          </a:ln>
          <a:effectLst/>
        </c:spPr>
        <c:marker>
          <c:symbol val="circle"/>
          <c:size val="5"/>
          <c:spPr>
            <a:solidFill>
              <a:srgbClr val="365B7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'Stock Levels by SKU'!$B$3</c:f>
              <c:strCache>
                <c:ptCount val="1"/>
                <c:pt idx="0">
                  <c:v>Total</c:v>
                </c:pt>
              </c:strCache>
            </c:strRef>
          </c:tx>
          <c:spPr>
            <a:ln w="28575" cap="rnd">
              <a:solidFill>
                <a:srgbClr val="D8E8F2"/>
              </a:solidFill>
              <a:round/>
            </a:ln>
            <a:effectLst/>
          </c:spPr>
          <c:marker>
            <c:symbol val="circle"/>
            <c:size val="5"/>
            <c:spPr>
              <a:solidFill>
                <a:srgbClr val="365B73"/>
              </a:solidFill>
              <a:ln w="9525">
                <a:solidFill>
                  <a:schemeClr val="accent1"/>
                </a:solidFill>
              </a:ln>
              <a:effectLst/>
            </c:spPr>
          </c:marker>
          <c:cat>
            <c:strRef>
              <c:f>'Stock Levels by SKU'!$A$4:$A$15</c:f>
              <c:strCache>
                <c:ptCount val="11"/>
                <c:pt idx="0">
                  <c:v>SKU12</c:v>
                </c:pt>
                <c:pt idx="1">
                  <c:v>SKU45</c:v>
                </c:pt>
                <c:pt idx="2">
                  <c:v>SKU49</c:v>
                </c:pt>
                <c:pt idx="3">
                  <c:v>SKU51</c:v>
                </c:pt>
                <c:pt idx="4">
                  <c:v>SKU53</c:v>
                </c:pt>
                <c:pt idx="5">
                  <c:v>SKU55</c:v>
                </c:pt>
                <c:pt idx="6">
                  <c:v>SKU59</c:v>
                </c:pt>
                <c:pt idx="7">
                  <c:v>SKU69</c:v>
                </c:pt>
                <c:pt idx="8">
                  <c:v>SKU7</c:v>
                </c:pt>
                <c:pt idx="9">
                  <c:v>SKU77</c:v>
                </c:pt>
                <c:pt idx="10">
                  <c:v>SKU91</c:v>
                </c:pt>
              </c:strCache>
            </c:strRef>
          </c:cat>
          <c:val>
            <c:numRef>
              <c:f>'Stock Levels by SKU'!$B$4:$B$15</c:f>
              <c:numCache>
                <c:formatCode>0</c:formatCode>
                <c:ptCount val="11"/>
                <c:pt idx="0">
                  <c:v>100</c:v>
                </c:pt>
                <c:pt idx="1">
                  <c:v>93</c:v>
                </c:pt>
                <c:pt idx="2">
                  <c:v>97</c:v>
                </c:pt>
                <c:pt idx="3">
                  <c:v>100</c:v>
                </c:pt>
                <c:pt idx="4">
                  <c:v>96</c:v>
                </c:pt>
                <c:pt idx="5">
                  <c:v>97</c:v>
                </c:pt>
                <c:pt idx="6">
                  <c:v>100</c:v>
                </c:pt>
                <c:pt idx="7">
                  <c:v>95</c:v>
                </c:pt>
                <c:pt idx="8">
                  <c:v>93</c:v>
                </c:pt>
                <c:pt idx="9">
                  <c:v>96</c:v>
                </c:pt>
                <c:pt idx="10">
                  <c:v>98</c:v>
                </c:pt>
              </c:numCache>
            </c:numRef>
          </c:val>
          <c:smooth val="0"/>
          <c:extLst>
            <c:ext xmlns:c16="http://schemas.microsoft.com/office/drawing/2014/chart" uri="{C3380CC4-5D6E-409C-BE32-E72D297353CC}">
              <c16:uniqueId val="{00000000-2787-4948-A296-E37BE97B2DF4}"/>
            </c:ext>
          </c:extLst>
        </c:ser>
        <c:dLbls>
          <c:showLegendKey val="0"/>
          <c:showVal val="0"/>
          <c:showCatName val="0"/>
          <c:showSerName val="0"/>
          <c:showPercent val="0"/>
          <c:showBubbleSize val="0"/>
        </c:dLbls>
        <c:marker val="1"/>
        <c:smooth val="0"/>
        <c:axId val="431905407"/>
        <c:axId val="431921247"/>
      </c:lineChart>
      <c:catAx>
        <c:axId val="43190540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1247"/>
        <c:crosses val="autoZero"/>
        <c:auto val="1"/>
        <c:lblAlgn val="ctr"/>
        <c:lblOffset val="100"/>
        <c:noMultiLvlLbl val="0"/>
      </c:catAx>
      <c:valAx>
        <c:axId val="431921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0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Data.csv.xlsx]Shipping Costs by Carriers!PivotTable6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Shipping Costs by Carriers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'Shipping Costs by Carriers'!$B$3</c:f>
              <c:strCache>
                <c:ptCount val="1"/>
                <c:pt idx="0">
                  <c:v>Total</c:v>
                </c:pt>
              </c:strCache>
            </c:strRef>
          </c:tx>
          <c:spPr>
            <a:solidFill>
              <a:srgbClr val="D8E8F2"/>
            </a:solidFill>
            <a:ln>
              <a:noFill/>
            </a:ln>
            <a:effectLst/>
            <a:sp3d/>
          </c:spPr>
          <c:invertIfNegative val="0"/>
          <c:cat>
            <c:strRef>
              <c:f>'Shipping Costs by Carriers'!$A$4:$A$7</c:f>
              <c:strCache>
                <c:ptCount val="3"/>
                <c:pt idx="0">
                  <c:v>Carrier A</c:v>
                </c:pt>
                <c:pt idx="1">
                  <c:v>Carrier B</c:v>
                </c:pt>
                <c:pt idx="2">
                  <c:v>Carrier C</c:v>
                </c:pt>
              </c:strCache>
            </c:strRef>
          </c:cat>
          <c:val>
            <c:numRef>
              <c:f>'Shipping Costs by Carriers'!$B$4:$B$7</c:f>
              <c:numCache>
                <c:formatCode>"$"#,##0.00</c:formatCode>
                <c:ptCount val="3"/>
                <c:pt idx="0">
                  <c:v>155.54000000000002</c:v>
                </c:pt>
                <c:pt idx="1">
                  <c:v>236.88999999999993</c:v>
                </c:pt>
                <c:pt idx="2">
                  <c:v>162.38999999999999</c:v>
                </c:pt>
              </c:numCache>
            </c:numRef>
          </c:val>
          <c:extLst>
            <c:ext xmlns:c16="http://schemas.microsoft.com/office/drawing/2014/chart" uri="{C3380CC4-5D6E-409C-BE32-E72D297353CC}">
              <c16:uniqueId val="{00000000-0F8C-4B64-A2D2-9D90CB1A9A16}"/>
            </c:ext>
          </c:extLst>
        </c:ser>
        <c:dLbls>
          <c:showLegendKey val="0"/>
          <c:showVal val="0"/>
          <c:showCatName val="0"/>
          <c:showSerName val="0"/>
          <c:showPercent val="0"/>
          <c:showBubbleSize val="0"/>
        </c:dLbls>
        <c:gapWidth val="150"/>
        <c:shape val="box"/>
        <c:axId val="431925087"/>
        <c:axId val="431926047"/>
        <c:axId val="0"/>
      </c:bar3DChart>
      <c:catAx>
        <c:axId val="431925087"/>
        <c:scaling>
          <c:orientation val="minMax"/>
        </c:scaling>
        <c:delete val="0"/>
        <c:axPos val="b"/>
        <c:numFmt formatCode="General" sourceLinked="1"/>
        <c:majorTickMark val="none"/>
        <c:minorTickMark val="none"/>
        <c:tickLblPos val="nextTo"/>
        <c:spPr>
          <a:noFill/>
          <a:ln>
            <a:solidFill>
              <a:srgbClr val="365B73"/>
            </a:solid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6047"/>
        <c:crosses val="autoZero"/>
        <c:auto val="1"/>
        <c:lblAlgn val="ctr"/>
        <c:lblOffset val="100"/>
        <c:noMultiLvlLbl val="0"/>
      </c:catAx>
      <c:valAx>
        <c:axId val="4319260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Data.csv.xlsx]Transport Cost Distribution!PivotTable8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Cost Distribution by Transport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'Transport Cost Distribution'!$B$3</c:f>
              <c:strCache>
                <c:ptCount val="1"/>
                <c:pt idx="0">
                  <c:v>Total</c:v>
                </c:pt>
              </c:strCache>
            </c:strRef>
          </c:tx>
          <c:spPr>
            <a:solidFill>
              <a:srgbClr val="D8E8F2"/>
            </a:solidFill>
            <a:ln>
              <a:noFill/>
            </a:ln>
            <a:effectLst/>
          </c:spPr>
          <c:invertIfNegative val="0"/>
          <c:cat>
            <c:strRef>
              <c:f>'Transport Cost Distribution'!$A$4:$A$8</c:f>
              <c:strCache>
                <c:ptCount val="4"/>
                <c:pt idx="0">
                  <c:v>Air</c:v>
                </c:pt>
                <c:pt idx="1">
                  <c:v>Rail</c:v>
                </c:pt>
                <c:pt idx="2">
                  <c:v>Road</c:v>
                </c:pt>
                <c:pt idx="3">
                  <c:v>Sea</c:v>
                </c:pt>
              </c:strCache>
            </c:strRef>
          </c:cat>
          <c:val>
            <c:numRef>
              <c:f>'Transport Cost Distribution'!$B$4:$B$8</c:f>
              <c:numCache>
                <c:formatCode>"$"#,##0.00</c:formatCode>
                <c:ptCount val="4"/>
                <c:pt idx="0">
                  <c:v>156.45999999999998</c:v>
                </c:pt>
                <c:pt idx="1">
                  <c:v>153.13999999999996</c:v>
                </c:pt>
                <c:pt idx="2">
                  <c:v>160.72999999999999</c:v>
                </c:pt>
                <c:pt idx="3">
                  <c:v>84.489999999999981</c:v>
                </c:pt>
              </c:numCache>
            </c:numRef>
          </c:val>
          <c:extLst>
            <c:ext xmlns:c16="http://schemas.microsoft.com/office/drawing/2014/chart" uri="{C3380CC4-5D6E-409C-BE32-E72D297353CC}">
              <c16:uniqueId val="{00000000-AC3A-4F4E-90CF-3D361810B0A6}"/>
            </c:ext>
          </c:extLst>
        </c:ser>
        <c:dLbls>
          <c:showLegendKey val="0"/>
          <c:showVal val="0"/>
          <c:showCatName val="0"/>
          <c:showSerName val="0"/>
          <c:showPercent val="0"/>
          <c:showBubbleSize val="0"/>
        </c:dLbls>
        <c:gapWidth val="219"/>
        <c:overlap val="-27"/>
        <c:axId val="431915487"/>
        <c:axId val="431928447"/>
      </c:barChart>
      <c:catAx>
        <c:axId val="431915487"/>
        <c:scaling>
          <c:orientation val="minMax"/>
        </c:scaling>
        <c:delete val="0"/>
        <c:axPos val="b"/>
        <c:numFmt formatCode="General" sourceLinked="1"/>
        <c:majorTickMark val="none"/>
        <c:minorTickMark val="none"/>
        <c:tickLblPos val="nextTo"/>
        <c:spPr>
          <a:noFill/>
          <a:ln w="9525" cap="flat" cmpd="sng" algn="ctr">
            <a:solidFill>
              <a:srgbClr val="365B73"/>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28447"/>
        <c:crosses val="autoZero"/>
        <c:auto val="1"/>
        <c:lblAlgn val="ctr"/>
        <c:lblOffset val="100"/>
        <c:noMultiLvlLbl val="0"/>
      </c:catAx>
      <c:valAx>
        <c:axId val="43192844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[Toluwani's Supply Chain Data.csv.xlsx]Avg Defect Rate by PM &amp; TM!PivotTable9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365B73"/>
                </a:solidFill>
                <a:latin typeface="Candara" panose="020E0502030303020204" pitchFamily="34" charset="0"/>
              </a:rPr>
              <a:t>Average Defect</a:t>
            </a:r>
            <a:r>
              <a:rPr lang="en-US" sz="1000" b="1" baseline="0">
                <a:solidFill>
                  <a:srgbClr val="365B73"/>
                </a:solidFill>
                <a:latin typeface="Candara" panose="020E0502030303020204" pitchFamily="34" charset="0"/>
              </a:rPr>
              <a:t> Rate by Product Type &amp; Transport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65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3A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65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3A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65B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D8E8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3AE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Defect Rate by PM &amp; TM'!$B$3:$B$4</c:f>
              <c:strCache>
                <c:ptCount val="1"/>
                <c:pt idx="0">
                  <c:v>Air</c:v>
                </c:pt>
              </c:strCache>
            </c:strRef>
          </c:tx>
          <c:spPr>
            <a:solidFill>
              <a:schemeClr val="bg1">
                <a:lumMod val="75000"/>
              </a:schemeClr>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TM'!$B$5:$B$8</c:f>
              <c:numCache>
                <c:formatCode>0.00%</c:formatCode>
                <c:ptCount val="3"/>
                <c:pt idx="0">
                  <c:v>3.9938126329463856E-3</c:v>
                </c:pt>
                <c:pt idx="1">
                  <c:v>2.9247087934532422E-2</c:v>
                </c:pt>
                <c:pt idx="2">
                  <c:v>1.6944181172651132E-2</c:v>
                </c:pt>
              </c:numCache>
            </c:numRef>
          </c:val>
          <c:extLst>
            <c:ext xmlns:c16="http://schemas.microsoft.com/office/drawing/2014/chart" uri="{C3380CC4-5D6E-409C-BE32-E72D297353CC}">
              <c16:uniqueId val="{00000000-6333-4345-8984-14F7CBA0F89B}"/>
            </c:ext>
          </c:extLst>
        </c:ser>
        <c:ser>
          <c:idx val="1"/>
          <c:order val="1"/>
          <c:tx>
            <c:strRef>
              <c:f>'Avg Defect Rate by PM &amp; TM'!$C$3:$C$4</c:f>
              <c:strCache>
                <c:ptCount val="1"/>
                <c:pt idx="0">
                  <c:v>Rail</c:v>
                </c:pt>
              </c:strCache>
            </c:strRef>
          </c:tx>
          <c:spPr>
            <a:solidFill>
              <a:srgbClr val="365B73"/>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TM'!$C$5:$C$8</c:f>
              <c:numCache>
                <c:formatCode>0.00%</c:formatCode>
                <c:ptCount val="3"/>
                <c:pt idx="0">
                  <c:v>2.1588410218392435E-2</c:v>
                </c:pt>
                <c:pt idx="1">
                  <c:v>1.9593179653067765E-2</c:v>
                </c:pt>
                <c:pt idx="2">
                  <c:v>2.8782267320882085E-2</c:v>
                </c:pt>
              </c:numCache>
            </c:numRef>
          </c:val>
          <c:extLst>
            <c:ext xmlns:c16="http://schemas.microsoft.com/office/drawing/2014/chart" uri="{C3380CC4-5D6E-409C-BE32-E72D297353CC}">
              <c16:uniqueId val="{00000001-6333-4345-8984-14F7CBA0F89B}"/>
            </c:ext>
          </c:extLst>
        </c:ser>
        <c:ser>
          <c:idx val="2"/>
          <c:order val="2"/>
          <c:tx>
            <c:strRef>
              <c:f>'Avg Defect Rate by PM &amp; TM'!$D$3:$D$4</c:f>
              <c:strCache>
                <c:ptCount val="1"/>
                <c:pt idx="0">
                  <c:v>Road</c:v>
                </c:pt>
              </c:strCache>
            </c:strRef>
          </c:tx>
          <c:spPr>
            <a:solidFill>
              <a:srgbClr val="D8E8F2"/>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TM'!$D$5:$D$8</c:f>
              <c:numCache>
                <c:formatCode>0.00%</c:formatCode>
                <c:ptCount val="3"/>
                <c:pt idx="0">
                  <c:v>2.7036749128426116E-2</c:v>
                </c:pt>
                <c:pt idx="1">
                  <c:v>4.1066170327042177E-2</c:v>
                </c:pt>
                <c:pt idx="2">
                  <c:v>2.9927625004564227E-2</c:v>
                </c:pt>
              </c:numCache>
            </c:numRef>
          </c:val>
          <c:extLst>
            <c:ext xmlns:c16="http://schemas.microsoft.com/office/drawing/2014/chart" uri="{C3380CC4-5D6E-409C-BE32-E72D297353CC}">
              <c16:uniqueId val="{00000002-6333-4345-8984-14F7CBA0F89B}"/>
            </c:ext>
          </c:extLst>
        </c:ser>
        <c:ser>
          <c:idx val="3"/>
          <c:order val="3"/>
          <c:tx>
            <c:strRef>
              <c:f>'Avg Defect Rate by PM &amp; TM'!$E$3:$E$4</c:f>
              <c:strCache>
                <c:ptCount val="1"/>
                <c:pt idx="0">
                  <c:v>Sea</c:v>
                </c:pt>
              </c:strCache>
            </c:strRef>
          </c:tx>
          <c:spPr>
            <a:solidFill>
              <a:srgbClr val="93AEBF"/>
            </a:solidFill>
            <a:ln>
              <a:noFill/>
            </a:ln>
            <a:effectLst/>
          </c:spPr>
          <c:invertIfNegative val="0"/>
          <c:cat>
            <c:strRef>
              <c:f>'Avg Defect Rate by PM &amp; TM'!$A$5:$A$8</c:f>
              <c:strCache>
                <c:ptCount val="3"/>
                <c:pt idx="0">
                  <c:v>Cosmetics</c:v>
                </c:pt>
                <c:pt idx="1">
                  <c:v>Haircare</c:v>
                </c:pt>
                <c:pt idx="2">
                  <c:v>Skincare</c:v>
                </c:pt>
              </c:strCache>
            </c:strRef>
          </c:cat>
          <c:val>
            <c:numRef>
              <c:f>'Avg Defect Rate by PM &amp; TM'!$E$5:$E$8</c:f>
              <c:numCache>
                <c:formatCode>0.00%</c:formatCode>
                <c:ptCount val="3"/>
                <c:pt idx="0">
                  <c:v>2.0421560742053556E-2</c:v>
                </c:pt>
                <c:pt idx="1">
                  <c:v>3.6428694726088395E-2</c:v>
                </c:pt>
                <c:pt idx="2">
                  <c:v>1.7907668087069024E-2</c:v>
                </c:pt>
              </c:numCache>
            </c:numRef>
          </c:val>
          <c:extLst>
            <c:ext xmlns:c16="http://schemas.microsoft.com/office/drawing/2014/chart" uri="{C3380CC4-5D6E-409C-BE32-E72D297353CC}">
              <c16:uniqueId val="{00000003-6333-4345-8984-14F7CBA0F89B}"/>
            </c:ext>
          </c:extLst>
        </c:ser>
        <c:dLbls>
          <c:showLegendKey val="0"/>
          <c:showVal val="0"/>
          <c:showCatName val="0"/>
          <c:showSerName val="0"/>
          <c:showPercent val="0"/>
          <c:showBubbleSize val="0"/>
        </c:dLbls>
        <c:gapWidth val="219"/>
        <c:overlap val="-27"/>
        <c:axId val="431935167"/>
        <c:axId val="431940447"/>
      </c:barChart>
      <c:catAx>
        <c:axId val="4319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crossAx val="431940447"/>
        <c:crosses val="autoZero"/>
        <c:auto val="1"/>
        <c:lblAlgn val="ctr"/>
        <c:lblOffset val="100"/>
        <c:noMultiLvlLbl val="0"/>
      </c:catAx>
      <c:valAx>
        <c:axId val="4319404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4319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rgbClr val="365B73"/>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600075</xdr:colOff>
      <xdr:row>1</xdr:row>
      <xdr:rowOff>185737</xdr:rowOff>
    </xdr:from>
    <xdr:to>
      <xdr:col>10</xdr:col>
      <xdr:colOff>371475</xdr:colOff>
      <xdr:row>15</xdr:row>
      <xdr:rowOff>38100</xdr:rowOff>
    </xdr:to>
    <xdr:graphicFrame macro="">
      <xdr:nvGraphicFramePr>
        <xdr:cNvPr id="2" name="Chart 1">
          <a:extLst>
            <a:ext uri="{FF2B5EF4-FFF2-40B4-BE49-F238E27FC236}">
              <a16:creationId xmlns:a16="http://schemas.microsoft.com/office/drawing/2014/main" id="{16894E3A-D7A2-50BD-170B-B4B43BB2E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1</xdr:row>
      <xdr:rowOff>185738</xdr:rowOff>
    </xdr:from>
    <xdr:to>
      <xdr:col>8</xdr:col>
      <xdr:colOff>504824</xdr:colOff>
      <xdr:row>13</xdr:row>
      <xdr:rowOff>123826</xdr:rowOff>
    </xdr:to>
    <xdr:graphicFrame macro="">
      <xdr:nvGraphicFramePr>
        <xdr:cNvPr id="2" name="Chart 1">
          <a:extLst>
            <a:ext uri="{FF2B5EF4-FFF2-40B4-BE49-F238E27FC236}">
              <a16:creationId xmlns:a16="http://schemas.microsoft.com/office/drawing/2014/main" id="{9C8332A9-CA2C-72E2-ABEB-F83E90F1B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561975</xdr:colOff>
      <xdr:row>2</xdr:row>
      <xdr:rowOff>14287</xdr:rowOff>
    </xdr:from>
    <xdr:to>
      <xdr:col>9</xdr:col>
      <xdr:colOff>561975</xdr:colOff>
      <xdr:row>14</xdr:row>
      <xdr:rowOff>142875</xdr:rowOff>
    </xdr:to>
    <xdr:graphicFrame macro="">
      <xdr:nvGraphicFramePr>
        <xdr:cNvPr id="2" name="Chart 1">
          <a:extLst>
            <a:ext uri="{FF2B5EF4-FFF2-40B4-BE49-F238E27FC236}">
              <a16:creationId xmlns:a16="http://schemas.microsoft.com/office/drawing/2014/main" id="{3CD2A68A-A07F-0904-0857-F2685D1D3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2</xdr:row>
      <xdr:rowOff>90487</xdr:rowOff>
    </xdr:from>
    <xdr:to>
      <xdr:col>12</xdr:col>
      <xdr:colOff>114299</xdr:colOff>
      <xdr:row>15</xdr:row>
      <xdr:rowOff>47625</xdr:rowOff>
    </xdr:to>
    <xdr:graphicFrame macro="">
      <xdr:nvGraphicFramePr>
        <xdr:cNvPr id="2" name="Chart 1">
          <a:extLst>
            <a:ext uri="{FF2B5EF4-FFF2-40B4-BE49-F238E27FC236}">
              <a16:creationId xmlns:a16="http://schemas.microsoft.com/office/drawing/2014/main" id="{B3C567B9-F08B-FA1F-A090-3AD6C7D2D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323849</xdr:colOff>
      <xdr:row>1</xdr:row>
      <xdr:rowOff>166687</xdr:rowOff>
    </xdr:from>
    <xdr:to>
      <xdr:col>12</xdr:col>
      <xdr:colOff>85724</xdr:colOff>
      <xdr:row>16</xdr:row>
      <xdr:rowOff>52387</xdr:rowOff>
    </xdr:to>
    <xdr:graphicFrame macro="">
      <xdr:nvGraphicFramePr>
        <xdr:cNvPr id="2" name="Chart 1">
          <a:extLst>
            <a:ext uri="{FF2B5EF4-FFF2-40B4-BE49-F238E27FC236}">
              <a16:creationId xmlns:a16="http://schemas.microsoft.com/office/drawing/2014/main" id="{FA67A61B-6572-454D-0DDF-4A872EE68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533400</xdr:colOff>
      <xdr:row>2</xdr:row>
      <xdr:rowOff>23812</xdr:rowOff>
    </xdr:from>
    <xdr:to>
      <xdr:col>9</xdr:col>
      <xdr:colOff>285750</xdr:colOff>
      <xdr:row>14</xdr:row>
      <xdr:rowOff>104775</xdr:rowOff>
    </xdr:to>
    <xdr:graphicFrame macro="">
      <xdr:nvGraphicFramePr>
        <xdr:cNvPr id="2" name="Chart 1">
          <a:extLst>
            <a:ext uri="{FF2B5EF4-FFF2-40B4-BE49-F238E27FC236}">
              <a16:creationId xmlns:a16="http://schemas.microsoft.com/office/drawing/2014/main" id="{8772A007-0FF1-6CAC-A1A8-C2D6B54BA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552449</xdr:colOff>
      <xdr:row>2</xdr:row>
      <xdr:rowOff>14287</xdr:rowOff>
    </xdr:from>
    <xdr:to>
      <xdr:col>9</xdr:col>
      <xdr:colOff>52386</xdr:colOff>
      <xdr:row>14</xdr:row>
      <xdr:rowOff>0</xdr:rowOff>
    </xdr:to>
    <xdr:graphicFrame macro="">
      <xdr:nvGraphicFramePr>
        <xdr:cNvPr id="3" name="Chart 2">
          <a:extLst>
            <a:ext uri="{FF2B5EF4-FFF2-40B4-BE49-F238E27FC236}">
              <a16:creationId xmlns:a16="http://schemas.microsoft.com/office/drawing/2014/main" id="{E3EFE92F-F709-E7D1-7908-F099727D7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57149</xdr:colOff>
      <xdr:row>1</xdr:row>
      <xdr:rowOff>133350</xdr:rowOff>
    </xdr:from>
    <xdr:to>
      <xdr:col>12</xdr:col>
      <xdr:colOff>276224</xdr:colOff>
      <xdr:row>15</xdr:row>
      <xdr:rowOff>0</xdr:rowOff>
    </xdr:to>
    <xdr:graphicFrame macro="">
      <xdr:nvGraphicFramePr>
        <xdr:cNvPr id="2" name="Chart 1">
          <a:extLst>
            <a:ext uri="{FF2B5EF4-FFF2-40B4-BE49-F238E27FC236}">
              <a16:creationId xmlns:a16="http://schemas.microsoft.com/office/drawing/2014/main" id="{03C622F9-294E-42C0-4289-451A51DB1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57151</xdr:colOff>
      <xdr:row>0</xdr:row>
      <xdr:rowOff>57150</xdr:rowOff>
    </xdr:from>
    <xdr:to>
      <xdr:col>8</xdr:col>
      <xdr:colOff>152401</xdr:colOff>
      <xdr:row>2</xdr:row>
      <xdr:rowOff>123825</xdr:rowOff>
    </xdr:to>
    <xdr:sp macro="" textlink="">
      <xdr:nvSpPr>
        <xdr:cNvPr id="3" name="Rectangle 2">
          <a:extLst>
            <a:ext uri="{FF2B5EF4-FFF2-40B4-BE49-F238E27FC236}">
              <a16:creationId xmlns:a16="http://schemas.microsoft.com/office/drawing/2014/main" id="{AA2EBD9B-F735-62FC-C641-52861ED08E6D}"/>
            </a:ext>
          </a:extLst>
        </xdr:cNvPr>
        <xdr:cNvSpPr/>
      </xdr:nvSpPr>
      <xdr:spPr>
        <a:xfrm>
          <a:off x="57151" y="57150"/>
          <a:ext cx="4972050" cy="447675"/>
        </a:xfrm>
        <a:prstGeom prst="rect">
          <a:avLst/>
        </a:prstGeom>
        <a:no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365B73"/>
              </a:solidFill>
              <a:latin typeface="Candara" panose="020E0502030303020204" pitchFamily="34" charset="0"/>
            </a:rPr>
            <a:t>FASHION</a:t>
          </a:r>
          <a:r>
            <a:rPr lang="en-US" sz="1800" b="1" baseline="0">
              <a:solidFill>
                <a:srgbClr val="365B73"/>
              </a:solidFill>
              <a:latin typeface="Candara" panose="020E0502030303020204" pitchFamily="34" charset="0"/>
            </a:rPr>
            <a:t> AND BEAUTY SUPPLY CHAIN ANALYSIS</a:t>
          </a:r>
          <a:endParaRPr lang="en-US" sz="1800" b="1">
            <a:solidFill>
              <a:srgbClr val="365B73"/>
            </a:solidFill>
            <a:latin typeface="Candara" panose="020E0502030303020204" pitchFamily="34" charset="0"/>
          </a:endParaRPr>
        </a:p>
      </xdr:txBody>
    </xdr:sp>
    <xdr:clientData/>
  </xdr:twoCellAnchor>
  <xdr:twoCellAnchor>
    <xdr:from>
      <xdr:col>0</xdr:col>
      <xdr:colOff>104775</xdr:colOff>
      <xdr:row>2</xdr:row>
      <xdr:rowOff>66675</xdr:rowOff>
    </xdr:from>
    <xdr:to>
      <xdr:col>3</xdr:col>
      <xdr:colOff>500063</xdr:colOff>
      <xdr:row>6</xdr:row>
      <xdr:rowOff>178595</xdr:rowOff>
    </xdr:to>
    <xdr:sp macro="" textlink="">
      <xdr:nvSpPr>
        <xdr:cNvPr id="4" name="Rectangle: Rounded Corners 3">
          <a:extLst>
            <a:ext uri="{FF2B5EF4-FFF2-40B4-BE49-F238E27FC236}">
              <a16:creationId xmlns:a16="http://schemas.microsoft.com/office/drawing/2014/main" id="{9B228B0D-838B-4BD3-9EA4-CF9F681593C0}"/>
            </a:ext>
          </a:extLst>
        </xdr:cNvPr>
        <xdr:cNvSpPr/>
      </xdr:nvSpPr>
      <xdr:spPr>
        <a:xfrm>
          <a:off x="104775" y="447675"/>
          <a:ext cx="2216944" cy="873920"/>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$577,604.86 </a:t>
          </a:r>
        </a:p>
        <a:p>
          <a:pPr algn="ctr"/>
          <a:r>
            <a:rPr lang="en-US" sz="1000" b="1">
              <a:solidFill>
                <a:srgbClr val="93AEBF"/>
              </a:solidFill>
              <a:latin typeface="Candara" panose="020E0502030303020204" pitchFamily="34" charset="0"/>
            </a:rPr>
            <a:t>Total</a:t>
          </a:r>
          <a:r>
            <a:rPr lang="en-US" sz="1000" b="1" baseline="0">
              <a:solidFill>
                <a:srgbClr val="93AEBF"/>
              </a:solidFill>
              <a:latin typeface="Candara" panose="020E0502030303020204" pitchFamily="34" charset="0"/>
            </a:rPr>
            <a:t> Revenue </a:t>
          </a:r>
          <a:endParaRPr lang="en-US" sz="1000" b="1">
            <a:solidFill>
              <a:srgbClr val="93AEBF"/>
            </a:solidFill>
            <a:latin typeface="Candara" panose="020E0502030303020204" pitchFamily="34" charset="0"/>
          </a:endParaRPr>
        </a:p>
      </xdr:txBody>
    </xdr:sp>
    <xdr:clientData/>
  </xdr:twoCellAnchor>
  <xdr:twoCellAnchor>
    <xdr:from>
      <xdr:col>4</xdr:col>
      <xdr:colOff>128586</xdr:colOff>
      <xdr:row>2</xdr:row>
      <xdr:rowOff>64294</xdr:rowOff>
    </xdr:from>
    <xdr:to>
      <xdr:col>7</xdr:col>
      <xdr:colOff>519778</xdr:colOff>
      <xdr:row>6</xdr:row>
      <xdr:rowOff>178593</xdr:rowOff>
    </xdr:to>
    <xdr:sp macro="" textlink="">
      <xdr:nvSpPr>
        <xdr:cNvPr id="6" name="Rectangle: Rounded Corners 5">
          <a:extLst>
            <a:ext uri="{FF2B5EF4-FFF2-40B4-BE49-F238E27FC236}">
              <a16:creationId xmlns:a16="http://schemas.microsoft.com/office/drawing/2014/main" id="{A0FD7F65-6831-6846-003E-6167C6CBAA8B}"/>
            </a:ext>
          </a:extLst>
        </xdr:cNvPr>
        <xdr:cNvSpPr/>
      </xdr:nvSpPr>
      <xdr:spPr>
        <a:xfrm>
          <a:off x="2557461" y="445294"/>
          <a:ext cx="2212848" cy="876299"/>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46,099 </a:t>
          </a:r>
        </a:p>
        <a:p>
          <a:pPr algn="ctr"/>
          <a:r>
            <a:rPr lang="en-US" sz="1000" b="1">
              <a:solidFill>
                <a:srgbClr val="93AEBF"/>
              </a:solidFill>
              <a:latin typeface="Candara" panose="020E0502030303020204" pitchFamily="34" charset="0"/>
            </a:rPr>
            <a:t>Total</a:t>
          </a:r>
          <a:r>
            <a:rPr lang="en-US" sz="1000" b="1" baseline="0">
              <a:solidFill>
                <a:srgbClr val="93AEBF"/>
              </a:solidFill>
              <a:latin typeface="Candara" panose="020E0502030303020204" pitchFamily="34" charset="0"/>
            </a:rPr>
            <a:t> Products Sold </a:t>
          </a:r>
          <a:endParaRPr lang="en-US" sz="1000" b="1">
            <a:solidFill>
              <a:srgbClr val="93AEBF"/>
            </a:solidFill>
            <a:latin typeface="Candara" panose="020E0502030303020204" pitchFamily="34" charset="0"/>
          </a:endParaRPr>
        </a:p>
      </xdr:txBody>
    </xdr:sp>
    <xdr:clientData/>
  </xdr:twoCellAnchor>
  <xdr:twoCellAnchor>
    <xdr:from>
      <xdr:col>8</xdr:col>
      <xdr:colOff>133350</xdr:colOff>
      <xdr:row>2</xdr:row>
      <xdr:rowOff>71438</xdr:rowOff>
    </xdr:from>
    <xdr:to>
      <xdr:col>11</xdr:col>
      <xdr:colOff>524542</xdr:colOff>
      <xdr:row>6</xdr:row>
      <xdr:rowOff>187262</xdr:rowOff>
    </xdr:to>
    <xdr:sp macro="" textlink="">
      <xdr:nvSpPr>
        <xdr:cNvPr id="7" name="Rectangle: Rounded Corners 6">
          <a:extLst>
            <a:ext uri="{FF2B5EF4-FFF2-40B4-BE49-F238E27FC236}">
              <a16:creationId xmlns:a16="http://schemas.microsoft.com/office/drawing/2014/main" id="{4F12C895-7C81-E959-D158-7FBCC6DF79CA}"/>
            </a:ext>
          </a:extLst>
        </xdr:cNvPr>
        <xdr:cNvSpPr/>
      </xdr:nvSpPr>
      <xdr:spPr>
        <a:xfrm>
          <a:off x="4991100" y="452438"/>
          <a:ext cx="2212848" cy="877824"/>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Skincare </a:t>
          </a:r>
        </a:p>
        <a:p>
          <a:pPr algn="ctr"/>
          <a:r>
            <a:rPr lang="en-US" sz="1000" b="1">
              <a:solidFill>
                <a:srgbClr val="93AEBF"/>
              </a:solidFill>
              <a:latin typeface="Candara" panose="020E0502030303020204" pitchFamily="34" charset="0"/>
            </a:rPr>
            <a:t>Top</a:t>
          </a:r>
          <a:r>
            <a:rPr lang="en-US" sz="1000" b="1" baseline="0">
              <a:solidFill>
                <a:srgbClr val="93AEBF"/>
              </a:solidFill>
              <a:latin typeface="Candara" panose="020E0502030303020204" pitchFamily="34" charset="0"/>
            </a:rPr>
            <a:t> Selling Product Type </a:t>
          </a:r>
          <a:endParaRPr lang="en-US" sz="1000" b="1">
            <a:solidFill>
              <a:srgbClr val="93AEBF"/>
            </a:solidFill>
            <a:latin typeface="Candara" panose="020E0502030303020204" pitchFamily="34" charset="0"/>
          </a:endParaRPr>
        </a:p>
      </xdr:txBody>
    </xdr:sp>
    <xdr:clientData/>
  </xdr:twoCellAnchor>
  <xdr:twoCellAnchor>
    <xdr:from>
      <xdr:col>16</xdr:col>
      <xdr:colOff>185737</xdr:colOff>
      <xdr:row>2</xdr:row>
      <xdr:rowOff>83345</xdr:rowOff>
    </xdr:from>
    <xdr:to>
      <xdr:col>19</xdr:col>
      <xdr:colOff>576929</xdr:colOff>
      <xdr:row>7</xdr:row>
      <xdr:rowOff>8669</xdr:rowOff>
    </xdr:to>
    <xdr:sp macro="" textlink="">
      <xdr:nvSpPr>
        <xdr:cNvPr id="8" name="Rectangle: Rounded Corners 7">
          <a:extLst>
            <a:ext uri="{FF2B5EF4-FFF2-40B4-BE49-F238E27FC236}">
              <a16:creationId xmlns:a16="http://schemas.microsoft.com/office/drawing/2014/main" id="{70C42873-4216-8EB3-0EB4-8634D6949B2B}"/>
            </a:ext>
          </a:extLst>
        </xdr:cNvPr>
        <xdr:cNvSpPr/>
      </xdr:nvSpPr>
      <xdr:spPr>
        <a:xfrm>
          <a:off x="9901237" y="464345"/>
          <a:ext cx="2212848" cy="877824"/>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2.50% </a:t>
          </a:r>
        </a:p>
        <a:p>
          <a:pPr algn="ctr"/>
          <a:r>
            <a:rPr lang="en-US" sz="1000" b="1" baseline="0">
              <a:solidFill>
                <a:srgbClr val="93AEBF"/>
              </a:solidFill>
              <a:latin typeface="Candara" panose="020E0502030303020204" pitchFamily="34" charset="0"/>
            </a:rPr>
            <a:t>Average Defect Rate  </a:t>
          </a:r>
          <a:endParaRPr lang="en-US" sz="1000" b="1">
            <a:solidFill>
              <a:srgbClr val="93AEBF"/>
            </a:solidFill>
            <a:latin typeface="Candara" panose="020E0502030303020204" pitchFamily="34" charset="0"/>
          </a:endParaRPr>
        </a:p>
      </xdr:txBody>
    </xdr:sp>
    <xdr:clientData/>
  </xdr:twoCellAnchor>
  <xdr:twoCellAnchor>
    <xdr:from>
      <xdr:col>12</xdr:col>
      <xdr:colOff>159542</xdr:colOff>
      <xdr:row>2</xdr:row>
      <xdr:rowOff>71437</xdr:rowOff>
    </xdr:from>
    <xdr:to>
      <xdr:col>15</xdr:col>
      <xdr:colOff>550734</xdr:colOff>
      <xdr:row>6</xdr:row>
      <xdr:rowOff>187261</xdr:rowOff>
    </xdr:to>
    <xdr:sp macro="" textlink="">
      <xdr:nvSpPr>
        <xdr:cNvPr id="9" name="Rectangle: Rounded Corners 8">
          <a:extLst>
            <a:ext uri="{FF2B5EF4-FFF2-40B4-BE49-F238E27FC236}">
              <a16:creationId xmlns:a16="http://schemas.microsoft.com/office/drawing/2014/main" id="{8652321A-0D4D-AEB4-0A6E-7E220236C703}"/>
            </a:ext>
          </a:extLst>
        </xdr:cNvPr>
        <xdr:cNvSpPr/>
      </xdr:nvSpPr>
      <xdr:spPr>
        <a:xfrm>
          <a:off x="7446167" y="452437"/>
          <a:ext cx="2212848" cy="877824"/>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100 </a:t>
          </a:r>
        </a:p>
        <a:p>
          <a:pPr algn="ctr"/>
          <a:r>
            <a:rPr lang="en-US" sz="1000" b="1">
              <a:solidFill>
                <a:srgbClr val="93AEBF"/>
              </a:solidFill>
              <a:latin typeface="Candara" panose="020E0502030303020204" pitchFamily="34" charset="0"/>
            </a:rPr>
            <a:t>Total</a:t>
          </a:r>
          <a:r>
            <a:rPr lang="en-US" sz="1000" b="1" baseline="0">
              <a:solidFill>
                <a:srgbClr val="93AEBF"/>
              </a:solidFill>
              <a:latin typeface="Candara" panose="020E0502030303020204" pitchFamily="34" charset="0"/>
            </a:rPr>
            <a:t> Records  </a:t>
          </a:r>
          <a:endParaRPr lang="en-US" sz="1000" b="1">
            <a:solidFill>
              <a:srgbClr val="93AEBF"/>
            </a:solidFill>
            <a:latin typeface="Candara" panose="020E0502030303020204" pitchFamily="34" charset="0"/>
          </a:endParaRPr>
        </a:p>
      </xdr:txBody>
    </xdr:sp>
    <xdr:clientData/>
  </xdr:twoCellAnchor>
  <xdr:twoCellAnchor>
    <xdr:from>
      <xdr:col>20</xdr:col>
      <xdr:colOff>200026</xdr:colOff>
      <xdr:row>2</xdr:row>
      <xdr:rowOff>83345</xdr:rowOff>
    </xdr:from>
    <xdr:to>
      <xdr:col>23</xdr:col>
      <xdr:colOff>591218</xdr:colOff>
      <xdr:row>7</xdr:row>
      <xdr:rowOff>8669</xdr:rowOff>
    </xdr:to>
    <xdr:sp macro="" textlink="">
      <xdr:nvSpPr>
        <xdr:cNvPr id="10" name="Rectangle: Rounded Corners 9">
          <a:extLst>
            <a:ext uri="{FF2B5EF4-FFF2-40B4-BE49-F238E27FC236}">
              <a16:creationId xmlns:a16="http://schemas.microsoft.com/office/drawing/2014/main" id="{982E4CF5-4848-7C39-2240-C9A567AFB7DA}"/>
            </a:ext>
          </a:extLst>
        </xdr:cNvPr>
        <xdr:cNvSpPr/>
      </xdr:nvSpPr>
      <xdr:spPr>
        <a:xfrm>
          <a:off x="12344401" y="464345"/>
          <a:ext cx="2212848" cy="877824"/>
        </a:xfrm>
        <a:prstGeom prst="roundRect">
          <a:avLst/>
        </a:prstGeom>
        <a:noFill/>
        <a:ln>
          <a:solidFill>
            <a:schemeClr val="bg1">
              <a:lumMod val="9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365B73"/>
              </a:solidFill>
              <a:latin typeface="Candara" panose="020E0502030303020204" pitchFamily="34" charset="0"/>
            </a:rPr>
            <a:t>Skincare</a:t>
          </a:r>
        </a:p>
        <a:p>
          <a:pPr algn="ctr"/>
          <a:r>
            <a:rPr lang="en-US" sz="1000" b="1" baseline="0">
              <a:solidFill>
                <a:srgbClr val="93AEBF"/>
              </a:solidFill>
              <a:latin typeface="Candara" panose="020E0502030303020204" pitchFamily="34" charset="0"/>
            </a:rPr>
            <a:t>Highest Revenue Product Type </a:t>
          </a:r>
          <a:endParaRPr lang="en-US" sz="1000" b="1">
            <a:solidFill>
              <a:srgbClr val="93AEBF"/>
            </a:solidFill>
            <a:latin typeface="Candara" panose="020E0502030303020204" pitchFamily="34" charset="0"/>
          </a:endParaRPr>
        </a:p>
      </xdr:txBody>
    </xdr:sp>
    <xdr:clientData/>
  </xdr:twoCellAnchor>
  <xdr:twoCellAnchor>
    <xdr:from>
      <xdr:col>0</xdr:col>
      <xdr:colOff>104775</xdr:colOff>
      <xdr:row>7</xdr:row>
      <xdr:rowOff>114300</xdr:rowOff>
    </xdr:from>
    <xdr:to>
      <xdr:col>5</xdr:col>
      <xdr:colOff>285750</xdr:colOff>
      <xdr:row>16</xdr:row>
      <xdr:rowOff>171450</xdr:rowOff>
    </xdr:to>
    <xdr:sp macro="" textlink="">
      <xdr:nvSpPr>
        <xdr:cNvPr id="11" name="Rectangle 10">
          <a:extLst>
            <a:ext uri="{FF2B5EF4-FFF2-40B4-BE49-F238E27FC236}">
              <a16:creationId xmlns:a16="http://schemas.microsoft.com/office/drawing/2014/main" id="{3775C1D2-8457-FE11-F827-46364AA271C4}"/>
            </a:ext>
          </a:extLst>
        </xdr:cNvPr>
        <xdr:cNvSpPr/>
      </xdr:nvSpPr>
      <xdr:spPr>
        <a:xfrm>
          <a:off x="104775" y="1447800"/>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333375</xdr:colOff>
      <xdr:row>7</xdr:row>
      <xdr:rowOff>114300</xdr:rowOff>
    </xdr:from>
    <xdr:to>
      <xdr:col>10</xdr:col>
      <xdr:colOff>514350</xdr:colOff>
      <xdr:row>16</xdr:row>
      <xdr:rowOff>171450</xdr:rowOff>
    </xdr:to>
    <xdr:sp macro="" textlink="">
      <xdr:nvSpPr>
        <xdr:cNvPr id="12" name="Rectangle 11">
          <a:extLst>
            <a:ext uri="{FF2B5EF4-FFF2-40B4-BE49-F238E27FC236}">
              <a16:creationId xmlns:a16="http://schemas.microsoft.com/office/drawing/2014/main" id="{CCB5943C-9829-A701-9A16-FD1DEA8FFF11}"/>
            </a:ext>
          </a:extLst>
        </xdr:cNvPr>
        <xdr:cNvSpPr/>
      </xdr:nvSpPr>
      <xdr:spPr>
        <a:xfrm>
          <a:off x="3381375" y="1447800"/>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7</xdr:row>
      <xdr:rowOff>114301</xdr:rowOff>
    </xdr:from>
    <xdr:to>
      <xdr:col>5</xdr:col>
      <xdr:colOff>276225</xdr:colOff>
      <xdr:row>16</xdr:row>
      <xdr:rowOff>161925</xdr:rowOff>
    </xdr:to>
    <xdr:graphicFrame macro="">
      <xdr:nvGraphicFramePr>
        <xdr:cNvPr id="13" name="Chart 12">
          <a:extLst>
            <a:ext uri="{FF2B5EF4-FFF2-40B4-BE49-F238E27FC236}">
              <a16:creationId xmlns:a16="http://schemas.microsoft.com/office/drawing/2014/main" id="{FBCFAE03-C6C7-4290-B120-841EE9BCB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571500</xdr:colOff>
      <xdr:row>7</xdr:row>
      <xdr:rowOff>114300</xdr:rowOff>
    </xdr:from>
    <xdr:to>
      <xdr:col>16</xdr:col>
      <xdr:colOff>142875</xdr:colOff>
      <xdr:row>16</xdr:row>
      <xdr:rowOff>171450</xdr:rowOff>
    </xdr:to>
    <xdr:sp macro="" textlink="">
      <xdr:nvSpPr>
        <xdr:cNvPr id="14" name="Rectangle 13">
          <a:extLst>
            <a:ext uri="{FF2B5EF4-FFF2-40B4-BE49-F238E27FC236}">
              <a16:creationId xmlns:a16="http://schemas.microsoft.com/office/drawing/2014/main" id="{D43BBE75-C456-1D7D-13C2-7C56FF26CCAA}"/>
            </a:ext>
          </a:extLst>
        </xdr:cNvPr>
        <xdr:cNvSpPr/>
      </xdr:nvSpPr>
      <xdr:spPr>
        <a:xfrm>
          <a:off x="6667500" y="1447800"/>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190500</xdr:colOff>
      <xdr:row>7</xdr:row>
      <xdr:rowOff>114300</xdr:rowOff>
    </xdr:from>
    <xdr:to>
      <xdr:col>21</xdr:col>
      <xdr:colOff>371475</xdr:colOff>
      <xdr:row>16</xdr:row>
      <xdr:rowOff>171450</xdr:rowOff>
    </xdr:to>
    <xdr:sp macro="" textlink="">
      <xdr:nvSpPr>
        <xdr:cNvPr id="15" name="Rectangle 14">
          <a:extLst>
            <a:ext uri="{FF2B5EF4-FFF2-40B4-BE49-F238E27FC236}">
              <a16:creationId xmlns:a16="http://schemas.microsoft.com/office/drawing/2014/main" id="{80752C15-DC9D-1FA7-8AA2-AC5B9D077E36}"/>
            </a:ext>
          </a:extLst>
        </xdr:cNvPr>
        <xdr:cNvSpPr/>
      </xdr:nvSpPr>
      <xdr:spPr>
        <a:xfrm>
          <a:off x="9944100" y="1447800"/>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17</xdr:row>
      <xdr:rowOff>28575</xdr:rowOff>
    </xdr:from>
    <xdr:to>
      <xdr:col>5</xdr:col>
      <xdr:colOff>276225</xdr:colOff>
      <xdr:row>26</xdr:row>
      <xdr:rowOff>85725</xdr:rowOff>
    </xdr:to>
    <xdr:sp macro="" textlink="">
      <xdr:nvSpPr>
        <xdr:cNvPr id="17" name="Rectangle 16">
          <a:extLst>
            <a:ext uri="{FF2B5EF4-FFF2-40B4-BE49-F238E27FC236}">
              <a16:creationId xmlns:a16="http://schemas.microsoft.com/office/drawing/2014/main" id="{06D267ED-DD6B-5A80-39AC-88E75DE70219}"/>
            </a:ext>
          </a:extLst>
        </xdr:cNvPr>
        <xdr:cNvSpPr/>
      </xdr:nvSpPr>
      <xdr:spPr>
        <a:xfrm>
          <a:off x="95250" y="3267075"/>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26</xdr:row>
      <xdr:rowOff>133350</xdr:rowOff>
    </xdr:from>
    <xdr:to>
      <xdr:col>0</xdr:col>
      <xdr:colOff>38100</xdr:colOff>
      <xdr:row>36</xdr:row>
      <xdr:rowOff>0</xdr:rowOff>
    </xdr:to>
    <xdr:sp macro="" textlink="">
      <xdr:nvSpPr>
        <xdr:cNvPr id="18" name="Rectangle 17">
          <a:extLst>
            <a:ext uri="{FF2B5EF4-FFF2-40B4-BE49-F238E27FC236}">
              <a16:creationId xmlns:a16="http://schemas.microsoft.com/office/drawing/2014/main" id="{AC158FCF-C568-4AEB-D93A-529EB986BC06}"/>
            </a:ext>
          </a:extLst>
        </xdr:cNvPr>
        <xdr:cNvSpPr/>
      </xdr:nvSpPr>
      <xdr:spPr>
        <a:xfrm>
          <a:off x="0" y="5086350"/>
          <a:ext cx="38100"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323850</xdr:colOff>
      <xdr:row>17</xdr:row>
      <xdr:rowOff>28575</xdr:rowOff>
    </xdr:from>
    <xdr:to>
      <xdr:col>10</xdr:col>
      <xdr:colOff>504825</xdr:colOff>
      <xdr:row>26</xdr:row>
      <xdr:rowOff>85725</xdr:rowOff>
    </xdr:to>
    <xdr:sp macro="" textlink="">
      <xdr:nvSpPr>
        <xdr:cNvPr id="19" name="Rectangle 18">
          <a:extLst>
            <a:ext uri="{FF2B5EF4-FFF2-40B4-BE49-F238E27FC236}">
              <a16:creationId xmlns:a16="http://schemas.microsoft.com/office/drawing/2014/main" id="{B9F120B5-5B80-0C2E-911F-4190DAE6A718}"/>
            </a:ext>
          </a:extLst>
        </xdr:cNvPr>
        <xdr:cNvSpPr/>
      </xdr:nvSpPr>
      <xdr:spPr>
        <a:xfrm>
          <a:off x="3371850" y="3267075"/>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552450</xdr:colOff>
      <xdr:row>17</xdr:row>
      <xdr:rowOff>28575</xdr:rowOff>
    </xdr:from>
    <xdr:to>
      <xdr:col>16</xdr:col>
      <xdr:colOff>123825</xdr:colOff>
      <xdr:row>26</xdr:row>
      <xdr:rowOff>85725</xdr:rowOff>
    </xdr:to>
    <xdr:sp macro="" textlink="">
      <xdr:nvSpPr>
        <xdr:cNvPr id="20" name="Rectangle 19">
          <a:extLst>
            <a:ext uri="{FF2B5EF4-FFF2-40B4-BE49-F238E27FC236}">
              <a16:creationId xmlns:a16="http://schemas.microsoft.com/office/drawing/2014/main" id="{1ABB7646-880B-081C-AFFA-D171A33AED96}"/>
            </a:ext>
          </a:extLst>
        </xdr:cNvPr>
        <xdr:cNvSpPr/>
      </xdr:nvSpPr>
      <xdr:spPr>
        <a:xfrm>
          <a:off x="6648450" y="3267075"/>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171450</xdr:colOff>
      <xdr:row>17</xdr:row>
      <xdr:rowOff>28575</xdr:rowOff>
    </xdr:from>
    <xdr:to>
      <xdr:col>21</xdr:col>
      <xdr:colOff>352425</xdr:colOff>
      <xdr:row>26</xdr:row>
      <xdr:rowOff>85725</xdr:rowOff>
    </xdr:to>
    <xdr:sp macro="" textlink="">
      <xdr:nvSpPr>
        <xdr:cNvPr id="21" name="Rectangle 20">
          <a:extLst>
            <a:ext uri="{FF2B5EF4-FFF2-40B4-BE49-F238E27FC236}">
              <a16:creationId xmlns:a16="http://schemas.microsoft.com/office/drawing/2014/main" id="{B2EB0906-9C07-C55A-A554-09A2C7B6CC63}"/>
            </a:ext>
          </a:extLst>
        </xdr:cNvPr>
        <xdr:cNvSpPr/>
      </xdr:nvSpPr>
      <xdr:spPr>
        <a:xfrm>
          <a:off x="9925050" y="3267075"/>
          <a:ext cx="3228975" cy="1771650"/>
        </a:xfrm>
        <a:prstGeom prst="rect">
          <a:avLst/>
        </a:prstGeom>
        <a:noFill/>
        <a:ln>
          <a:solidFill>
            <a:srgbClr val="365B7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17</xdr:row>
      <xdr:rowOff>38100</xdr:rowOff>
    </xdr:from>
    <xdr:to>
      <xdr:col>5</xdr:col>
      <xdr:colOff>266700</xdr:colOff>
      <xdr:row>26</xdr:row>
      <xdr:rowOff>76200</xdr:rowOff>
    </xdr:to>
    <xdr:graphicFrame macro="">
      <xdr:nvGraphicFramePr>
        <xdr:cNvPr id="22" name="Chart 21">
          <a:extLst>
            <a:ext uri="{FF2B5EF4-FFF2-40B4-BE49-F238E27FC236}">
              <a16:creationId xmlns:a16="http://schemas.microsoft.com/office/drawing/2014/main" id="{BDC3F9FF-3762-4F2B-86C5-AFA4495BE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333375</xdr:colOff>
      <xdr:row>7</xdr:row>
      <xdr:rowOff>114301</xdr:rowOff>
    </xdr:from>
    <xdr:to>
      <xdr:col>10</xdr:col>
      <xdr:colOff>514350</xdr:colOff>
      <xdr:row>16</xdr:row>
      <xdr:rowOff>161925</xdr:rowOff>
    </xdr:to>
    <xdr:graphicFrame macro="">
      <xdr:nvGraphicFramePr>
        <xdr:cNvPr id="23" name="Chart 22">
          <a:extLst>
            <a:ext uri="{FF2B5EF4-FFF2-40B4-BE49-F238E27FC236}">
              <a16:creationId xmlns:a16="http://schemas.microsoft.com/office/drawing/2014/main" id="{6DF1615A-2E93-4C53-908D-3C946031B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333375</xdr:colOff>
      <xdr:row>17</xdr:row>
      <xdr:rowOff>28575</xdr:rowOff>
    </xdr:from>
    <xdr:to>
      <xdr:col>10</xdr:col>
      <xdr:colOff>495300</xdr:colOff>
      <xdr:row>26</xdr:row>
      <xdr:rowOff>76200</xdr:rowOff>
    </xdr:to>
    <xdr:graphicFrame macro="">
      <xdr:nvGraphicFramePr>
        <xdr:cNvPr id="24" name="Chart 23">
          <a:extLst>
            <a:ext uri="{FF2B5EF4-FFF2-40B4-BE49-F238E27FC236}">
              <a16:creationId xmlns:a16="http://schemas.microsoft.com/office/drawing/2014/main" id="{343A906C-E65D-4707-AAE7-92EAA9CFA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581025</xdr:colOff>
      <xdr:row>7</xdr:row>
      <xdr:rowOff>123825</xdr:rowOff>
    </xdr:from>
    <xdr:to>
      <xdr:col>16</xdr:col>
      <xdr:colOff>133350</xdr:colOff>
      <xdr:row>16</xdr:row>
      <xdr:rowOff>161925</xdr:rowOff>
    </xdr:to>
    <xdr:graphicFrame macro="">
      <xdr:nvGraphicFramePr>
        <xdr:cNvPr id="25" name="Chart 24">
          <a:extLst>
            <a:ext uri="{FF2B5EF4-FFF2-40B4-BE49-F238E27FC236}">
              <a16:creationId xmlns:a16="http://schemas.microsoft.com/office/drawing/2014/main" id="{E4098228-234B-44D7-890F-4A23A8874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552450</xdr:colOff>
      <xdr:row>17</xdr:row>
      <xdr:rowOff>38100</xdr:rowOff>
    </xdr:from>
    <xdr:to>
      <xdr:col>16</xdr:col>
      <xdr:colOff>114300</xdr:colOff>
      <xdr:row>26</xdr:row>
      <xdr:rowOff>85725</xdr:rowOff>
    </xdr:to>
    <xdr:graphicFrame macro="">
      <xdr:nvGraphicFramePr>
        <xdr:cNvPr id="26" name="Chart 25">
          <a:extLst>
            <a:ext uri="{FF2B5EF4-FFF2-40B4-BE49-F238E27FC236}">
              <a16:creationId xmlns:a16="http://schemas.microsoft.com/office/drawing/2014/main" id="{8651BAA8-9444-47A3-B9D9-67F051E05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200025</xdr:colOff>
      <xdr:row>7</xdr:row>
      <xdr:rowOff>123825</xdr:rowOff>
    </xdr:from>
    <xdr:to>
      <xdr:col>21</xdr:col>
      <xdr:colOff>361950</xdr:colOff>
      <xdr:row>16</xdr:row>
      <xdr:rowOff>161925</xdr:rowOff>
    </xdr:to>
    <xdr:graphicFrame macro="">
      <xdr:nvGraphicFramePr>
        <xdr:cNvPr id="27" name="Chart 26">
          <a:extLst>
            <a:ext uri="{FF2B5EF4-FFF2-40B4-BE49-F238E27FC236}">
              <a16:creationId xmlns:a16="http://schemas.microsoft.com/office/drawing/2014/main" id="{A5840FE3-1744-420E-98C3-D18D3381D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180976</xdr:colOff>
      <xdr:row>17</xdr:row>
      <xdr:rowOff>38100</xdr:rowOff>
    </xdr:from>
    <xdr:to>
      <xdr:col>21</xdr:col>
      <xdr:colOff>342900</xdr:colOff>
      <xdr:row>26</xdr:row>
      <xdr:rowOff>76199</xdr:rowOff>
    </xdr:to>
    <xdr:graphicFrame macro="">
      <xdr:nvGraphicFramePr>
        <xdr:cNvPr id="28" name="Chart 27">
          <a:extLst>
            <a:ext uri="{FF2B5EF4-FFF2-40B4-BE49-F238E27FC236}">
              <a16:creationId xmlns:a16="http://schemas.microsoft.com/office/drawing/2014/main" id="{C651520A-EAE1-4822-B520-229A2A3AA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447675</xdr:colOff>
      <xdr:row>7</xdr:row>
      <xdr:rowOff>104775</xdr:rowOff>
    </xdr:from>
    <xdr:to>
      <xdr:col>24</xdr:col>
      <xdr:colOff>76200</xdr:colOff>
      <xdr:row>13</xdr:row>
      <xdr:rowOff>171450</xdr:rowOff>
    </xdr:to>
    <mc:AlternateContent xmlns:mc="http://schemas.openxmlformats.org/markup-compatibility/2006" xmlns:a14="http://schemas.microsoft.com/office/drawing/2010/main">
      <mc:Choice Requires="a14">
        <xdr:graphicFrame macro="">
          <xdr:nvGraphicFramePr>
            <xdr:cNvPr id="29" name="Product Type">
              <a:extLst>
                <a:ext uri="{FF2B5EF4-FFF2-40B4-BE49-F238E27FC236}">
                  <a16:creationId xmlns:a16="http://schemas.microsoft.com/office/drawing/2014/main" id="{719D0231-943A-A46C-87D0-97516B54E4F5}"/>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3239972" y="1422769"/>
              <a:ext cx="1455995" cy="11963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457200</xdr:colOff>
      <xdr:row>14</xdr:row>
      <xdr:rowOff>38101</xdr:rowOff>
    </xdr:from>
    <xdr:to>
      <xdr:col>24</xdr:col>
      <xdr:colOff>57150</xdr:colOff>
      <xdr:row>20</xdr:row>
      <xdr:rowOff>1</xdr:rowOff>
    </xdr:to>
    <mc:AlternateContent xmlns:mc="http://schemas.openxmlformats.org/markup-compatibility/2006" xmlns:a14="http://schemas.microsoft.com/office/drawing/2010/main">
      <mc:Choice Requires="a14">
        <xdr:graphicFrame macro="">
          <xdr:nvGraphicFramePr>
            <xdr:cNvPr id="30" name="Shipping Carriers">
              <a:extLst>
                <a:ext uri="{FF2B5EF4-FFF2-40B4-BE49-F238E27FC236}">
                  <a16:creationId xmlns:a16="http://schemas.microsoft.com/office/drawing/2014/main" id="{7E893B7C-8248-B83D-4E50-1CF71BEA423C}"/>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mlns="">
        <xdr:sp macro="" textlink="">
          <xdr:nvSpPr>
            <xdr:cNvPr id="0" name=""/>
            <xdr:cNvSpPr>
              <a:spLocks noTextEdit="1"/>
            </xdr:cNvSpPr>
          </xdr:nvSpPr>
          <xdr:spPr>
            <a:xfrm>
              <a:off x="13249497" y="2674089"/>
              <a:ext cx="1427420" cy="1091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457200</xdr:colOff>
      <xdr:row>20</xdr:row>
      <xdr:rowOff>57151</xdr:rowOff>
    </xdr:from>
    <xdr:to>
      <xdr:col>24</xdr:col>
      <xdr:colOff>85725</xdr:colOff>
      <xdr:row>26</xdr:row>
      <xdr:rowOff>66675</xdr:rowOff>
    </xdr:to>
    <mc:AlternateContent xmlns:mc="http://schemas.openxmlformats.org/markup-compatibility/2006" xmlns:a14="http://schemas.microsoft.com/office/drawing/2010/main">
      <mc:Choice Requires="a14">
        <xdr:graphicFrame macro="">
          <xdr:nvGraphicFramePr>
            <xdr:cNvPr id="31" name="Transportation Modes">
              <a:extLst>
                <a:ext uri="{FF2B5EF4-FFF2-40B4-BE49-F238E27FC236}">
                  <a16:creationId xmlns:a16="http://schemas.microsoft.com/office/drawing/2014/main" id="{23E4EF87-2BB5-F117-1B40-0625DEBD4B4C}"/>
                </a:ext>
              </a:extLst>
            </xdr:cNvPr>
            <xdr:cNvGraphicFramePr/>
          </xdr:nvGraphicFramePr>
          <xdr:xfrm>
            <a:off x="0" y="0"/>
            <a:ext cx="0" cy="0"/>
          </xdr:xfrm>
          <a:graphic>
            <a:graphicData uri="http://schemas.microsoft.com/office/drawing/2010/slicer">
              <sle:slicer xmlns:sle="http://schemas.microsoft.com/office/drawing/2010/slicer" name="Transportation Modes"/>
            </a:graphicData>
          </a:graphic>
        </xdr:graphicFrame>
      </mc:Choice>
      <mc:Fallback xmlns="">
        <xdr:sp macro="" textlink="">
          <xdr:nvSpPr>
            <xdr:cNvPr id="0" name=""/>
            <xdr:cNvSpPr>
              <a:spLocks noTextEdit="1"/>
            </xdr:cNvSpPr>
          </xdr:nvSpPr>
          <xdr:spPr>
            <a:xfrm>
              <a:off x="13249497" y="3822849"/>
              <a:ext cx="1455995" cy="1139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PC" refreshedDate="45978.768770833332" createdVersion="8" refreshedVersion="8" minRefreshableVersion="3" recordCount="100" xr:uid="{10C4D8A7-B63C-4B21-8CF0-E40E65C84166}">
  <cacheSource type="worksheet">
    <worksheetSource name="Supply_Chain_Table"/>
  </cacheSource>
  <cacheFields count="27">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164">
      <sharedItems containsSemiMixedTypes="0" containsString="0" containsNumber="1" minValue="1.7" maxValue="99.17"/>
    </cacheField>
    <cacheField name="Availability" numFmtId="1">
      <sharedItems containsSemiMixedTypes="0" containsString="0" containsNumber="1" containsInteger="1" minValue="1" maxValue="100"/>
    </cacheField>
    <cacheField name="Number of Products Sold" numFmtId="1">
      <sharedItems containsSemiMixedTypes="0" containsString="0" containsNumber="1" containsInteger="1" minValue="8" maxValue="996"/>
    </cacheField>
    <cacheField name="Revenue" numFmtId="164">
      <sharedItems containsSemiMixedTypes="0" containsString="0" containsNumber="1" minValue="1061.6199999999999" maxValue="9866.4699999999993"/>
    </cacheField>
    <cacheField name="Customer Demographics" numFmtId="0">
      <sharedItems/>
    </cacheField>
    <cacheField name="Stock Levels" numFmtId="1">
      <sharedItems containsSemiMixedTypes="0" containsString="0" containsNumber="1" containsInteger="1" minValue="0" maxValue="100"/>
    </cacheField>
    <cacheField name="Lead times" numFmtId="1">
      <sharedItems containsSemiMixedTypes="0" containsString="0" containsNumber="1" containsInteger="1" minValue="1" maxValue="30"/>
    </cacheField>
    <cacheField name="Lead Times Category" numFmtId="1">
      <sharedItems/>
    </cacheField>
    <cacheField name="Order Quantities" numFmtId="1">
      <sharedItems containsSemiMixedTypes="0" containsString="0" containsNumber="1" containsInteger="1" minValue="1" maxValue="96"/>
    </cacheField>
    <cacheField name="Order Quantities Category" numFmtId="1">
      <sharedItems/>
    </cacheField>
    <cacheField name="Shipping Times" numFmtId="1">
      <sharedItems containsSemiMixedTypes="0" containsString="0" containsNumber="1" containsInteger="1" minValue="1" maxValue="10"/>
    </cacheField>
    <cacheField name="Shipping Carriers" numFmtId="0">
      <sharedItems count="3">
        <s v="Carrier B"/>
        <s v="Carrier A"/>
        <s v="Carrier C"/>
      </sharedItems>
    </cacheField>
    <cacheField name="Shipping Cost" numFmtId="164">
      <sharedItems containsSemiMixedTypes="0" containsString="0" containsNumber="1" minValue="1.01" maxValue="9.93"/>
    </cacheField>
    <cacheField name="Supplier Name" numFmtId="0">
      <sharedItems/>
    </cacheField>
    <cacheField name="Location" numFmtId="0">
      <sharedItems/>
    </cacheField>
    <cacheField name="Lead Time" numFmtId="1">
      <sharedItems containsSemiMixedTypes="0" containsString="0" containsNumber="1" containsInteger="1" minValue="1" maxValue="30"/>
    </cacheField>
    <cacheField name="Production volumes" numFmtId="1">
      <sharedItems containsSemiMixedTypes="0" containsString="0" containsNumber="1" containsInteger="1" minValue="104" maxValue="985"/>
    </cacheField>
    <cacheField name="Manufacturing Lead Time" numFmtId="1">
      <sharedItems containsSemiMixedTypes="0" containsString="0" containsNumber="1" containsInteger="1" minValue="1" maxValue="30"/>
    </cacheField>
    <cacheField name="Manufacturing Costs" numFmtId="164">
      <sharedItems containsSemiMixedTypes="0" containsString="0" containsNumber="1" minValue="1.0900000000000001" maxValue="99.47"/>
    </cacheField>
    <cacheField name="Inspection Results" numFmtId="0">
      <sharedItems/>
    </cacheField>
    <cacheField name="Defect Rates" numFmtId="10">
      <sharedItems containsSemiMixedTypes="0" containsString="0" containsNumber="1" minValue="1.8607567631014899E-2" maxValue="22.6410360849925"/>
    </cacheField>
    <cacheField name="Corrected Defect Rates" numFmtId="10">
      <sharedItems containsSemiMixedTypes="0" containsString="0" containsNumber="1" minValue="1.8607567631014898E-4" maxValue="0.226410360849925"/>
    </cacheField>
    <cacheField name="Transportation Modes" numFmtId="0">
      <sharedItems count="4">
        <s v="Road"/>
        <s v="Air"/>
        <s v="Rail"/>
        <s v="Sea"/>
      </sharedItems>
    </cacheField>
    <cacheField name="Routes" numFmtId="0">
      <sharedItems/>
    </cacheField>
    <cacheField name="Costs" numFmtId="164">
      <sharedItems containsSemiMixedTypes="0" containsString="0" containsNumber="1" minValue="103.92" maxValue="997.41"/>
    </cacheField>
  </cacheFields>
  <extLst>
    <ext xmlns:x14="http://schemas.microsoft.com/office/spreadsheetml/2009/9/main" uri="{725AE2AE-9491-48be-B2B4-4EB974FC3084}">
      <x14:pivotCacheDefinition pivotCacheId="1790065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1"/>
    <n v="55"/>
    <n v="802"/>
    <n v="8662"/>
    <s v="Non-Binary"/>
    <n v="58"/>
    <n v="7"/>
    <s v="Fast"/>
    <n v="96"/>
    <s v="Large"/>
    <n v="4"/>
    <x v="0"/>
    <n v="2.96"/>
    <s v="Supplier 3"/>
    <s v="Mumbai"/>
    <n v="29"/>
    <n v="215"/>
    <n v="29"/>
    <n v="46.28"/>
    <s v="Pending"/>
    <n v="22.6410360849925"/>
    <n v="0.226410360849925"/>
    <x v="0"/>
    <s v="Route B"/>
    <n v="187.75"/>
  </r>
  <r>
    <x v="1"/>
    <x v="1"/>
    <n v="14.84"/>
    <n v="95"/>
    <n v="736"/>
    <n v="7460.9"/>
    <s v="Female"/>
    <n v="53"/>
    <n v="30"/>
    <s v="Slow"/>
    <n v="37"/>
    <s v="Medium"/>
    <n v="2"/>
    <x v="1"/>
    <n v="9.7200000000000006"/>
    <s v="Supplier 3"/>
    <s v="Mumbai"/>
    <n v="23"/>
    <n v="517"/>
    <n v="30"/>
    <n v="33.619999999999997"/>
    <s v="Pending"/>
    <n v="4.8540680263886999"/>
    <n v="4.8540680263886998E-2"/>
    <x v="0"/>
    <s v="Route B"/>
    <n v="503.07"/>
  </r>
  <r>
    <x v="0"/>
    <x v="2"/>
    <n v="11.32"/>
    <n v="34"/>
    <n v="8"/>
    <n v="9577.75"/>
    <s v="Unknown"/>
    <n v="1"/>
    <n v="10"/>
    <s v="Moderate"/>
    <n v="88"/>
    <s v="Large"/>
    <n v="2"/>
    <x v="0"/>
    <n v="8.0500000000000007"/>
    <s v="Supplier 1"/>
    <s v="Mumbai"/>
    <n v="12"/>
    <n v="971"/>
    <n v="27"/>
    <n v="30.69"/>
    <s v="Pending"/>
    <n v="4.5805926191992201"/>
    <n v="4.5805926191992204E-2"/>
    <x v="1"/>
    <s v="Route C"/>
    <n v="141.91999999999999"/>
  </r>
  <r>
    <x v="1"/>
    <x v="3"/>
    <n v="61.16"/>
    <n v="68"/>
    <n v="83"/>
    <n v="7766.84"/>
    <s v="Non-Binary"/>
    <n v="23"/>
    <n v="13"/>
    <s v="Moderate"/>
    <n v="59"/>
    <s v="Medium"/>
    <n v="6"/>
    <x v="2"/>
    <n v="1.73"/>
    <s v="Supplier 5"/>
    <s v="Kolkata"/>
    <n v="24"/>
    <n v="937"/>
    <n v="18"/>
    <n v="35.619999999999997"/>
    <s v="Fail"/>
    <n v="4.7466486206477496"/>
    <n v="4.7466486206477497E-2"/>
    <x v="2"/>
    <s v="Route A"/>
    <n v="254.78"/>
  </r>
  <r>
    <x v="1"/>
    <x v="4"/>
    <n v="4.8099999999999996"/>
    <n v="26"/>
    <n v="871"/>
    <n v="2686.51"/>
    <s v="Non-Binary"/>
    <n v="5"/>
    <n v="3"/>
    <s v="Fast"/>
    <n v="56"/>
    <s v="Medium"/>
    <n v="8"/>
    <x v="1"/>
    <n v="3.89"/>
    <s v="Supplier 1"/>
    <s v="Delhi"/>
    <n v="5"/>
    <n v="414"/>
    <n v="3"/>
    <n v="92.07"/>
    <s v="Fail"/>
    <n v="3.1455795228330001"/>
    <n v="3.1455795228330002E-2"/>
    <x v="1"/>
    <s v="Route A"/>
    <n v="923.44"/>
  </r>
  <r>
    <x v="0"/>
    <x v="5"/>
    <n v="1.7"/>
    <n v="87"/>
    <n v="147"/>
    <n v="2828.35"/>
    <s v="Non-Binary"/>
    <n v="90"/>
    <n v="27"/>
    <s v="Slow"/>
    <n v="66"/>
    <s v="Large"/>
    <n v="3"/>
    <x v="0"/>
    <n v="4.4400000000000004"/>
    <s v="Supplier 4"/>
    <s v="Bangalore"/>
    <n v="10"/>
    <n v="104"/>
    <n v="17"/>
    <n v="56.77"/>
    <s v="Fail"/>
    <n v="2.7791935115711599"/>
    <n v="2.77919351157116E-2"/>
    <x v="0"/>
    <s v="Route A"/>
    <n v="235.46"/>
  </r>
  <r>
    <x v="1"/>
    <x v="6"/>
    <n v="4.08"/>
    <n v="48"/>
    <n v="65"/>
    <n v="7823.48"/>
    <s v="Male"/>
    <n v="11"/>
    <n v="15"/>
    <s v="Slow"/>
    <n v="58"/>
    <s v="Medium"/>
    <n v="8"/>
    <x v="2"/>
    <n v="3.88"/>
    <s v="Supplier 3"/>
    <s v="Kolkata"/>
    <n v="14"/>
    <n v="314"/>
    <n v="24"/>
    <n v="1.0900000000000001"/>
    <s v="Pending"/>
    <n v="1.0009106193041299"/>
    <n v="1.00091061930413E-2"/>
    <x v="3"/>
    <s v="Route A"/>
    <n v="134.37"/>
  </r>
  <r>
    <x v="2"/>
    <x v="7"/>
    <n v="42.96"/>
    <n v="59"/>
    <n v="426"/>
    <n v="8496.1"/>
    <s v="Female"/>
    <n v="93"/>
    <n v="17"/>
    <s v="Slow"/>
    <n v="11"/>
    <s v="Small"/>
    <n v="1"/>
    <x v="0"/>
    <n v="2.35"/>
    <s v="Supplier 4"/>
    <s v="Bangalore"/>
    <n v="22"/>
    <n v="564"/>
    <n v="1"/>
    <n v="99.47"/>
    <s v="Fail"/>
    <n v="0.39817718685065001"/>
    <n v="3.9817718685065005E-3"/>
    <x v="0"/>
    <s v="Route C"/>
    <n v="802.06"/>
  </r>
  <r>
    <x v="2"/>
    <x v="8"/>
    <n v="68.72"/>
    <n v="78"/>
    <n v="150"/>
    <n v="7517.36"/>
    <s v="Female"/>
    <n v="5"/>
    <n v="10"/>
    <s v="Moderate"/>
    <n v="15"/>
    <s v="Small"/>
    <n v="7"/>
    <x v="2"/>
    <n v="3.4"/>
    <s v="Supplier 4"/>
    <s v="Mumbai"/>
    <n v="13"/>
    <n v="769"/>
    <n v="8"/>
    <n v="11.42"/>
    <s v="Pending"/>
    <n v="2.7098626911099601"/>
    <n v="2.7098626911099603E-2"/>
    <x v="3"/>
    <s v="Route B"/>
    <n v="505.56"/>
  </r>
  <r>
    <x v="1"/>
    <x v="9"/>
    <n v="64.02"/>
    <n v="35"/>
    <n v="980"/>
    <n v="4971.1499999999996"/>
    <s v="Unknown"/>
    <n v="14"/>
    <n v="27"/>
    <s v="Slow"/>
    <n v="83"/>
    <s v="Large"/>
    <n v="1"/>
    <x v="1"/>
    <n v="7.17"/>
    <s v="Supplier 2"/>
    <s v="Chennai"/>
    <n v="29"/>
    <n v="963"/>
    <n v="23"/>
    <n v="47.96"/>
    <s v="Pending"/>
    <n v="3.8446144787675798"/>
    <n v="3.8446144787675801E-2"/>
    <x v="2"/>
    <s v="Route B"/>
    <n v="995.93"/>
  </r>
  <r>
    <x v="1"/>
    <x v="10"/>
    <n v="15.71"/>
    <n v="11"/>
    <n v="996"/>
    <n v="2330.9699999999998"/>
    <s v="Non-Binary"/>
    <n v="51"/>
    <n v="13"/>
    <s v="Moderate"/>
    <n v="80"/>
    <s v="Large"/>
    <n v="2"/>
    <x v="2"/>
    <n v="8.67"/>
    <s v="Supplier 5"/>
    <s v="Kolkata"/>
    <n v="18"/>
    <n v="830"/>
    <n v="5"/>
    <n v="96.53"/>
    <s v="Pass"/>
    <n v="1.72731392835594"/>
    <n v="1.7273139283559402E-2"/>
    <x v="0"/>
    <s v="Route B"/>
    <n v="806.1"/>
  </r>
  <r>
    <x v="1"/>
    <x v="11"/>
    <n v="90.64"/>
    <n v="95"/>
    <n v="960"/>
    <n v="6099.94"/>
    <s v="Female"/>
    <n v="46"/>
    <n v="23"/>
    <s v="Slow"/>
    <n v="60"/>
    <s v="Medium"/>
    <n v="1"/>
    <x v="1"/>
    <n v="4.5199999999999996"/>
    <s v="Supplier 2"/>
    <s v="Kolkata"/>
    <n v="28"/>
    <n v="362"/>
    <n v="11"/>
    <n v="27.59"/>
    <s v="Pending"/>
    <n v="2.1169821372994301E-2"/>
    <n v="2.11698213729943E-4"/>
    <x v="1"/>
    <s v="Route A"/>
    <n v="126.72"/>
  </r>
  <r>
    <x v="0"/>
    <x v="12"/>
    <n v="71.209999999999994"/>
    <n v="41"/>
    <n v="336"/>
    <n v="2873.74"/>
    <s v="Unknown"/>
    <n v="100"/>
    <n v="30"/>
    <s v="Slow"/>
    <n v="85"/>
    <s v="Large"/>
    <n v="4"/>
    <x v="1"/>
    <n v="1.33"/>
    <s v="Supplier 4"/>
    <s v="Kolkata"/>
    <n v="3"/>
    <n v="563"/>
    <n v="3"/>
    <n v="32.32"/>
    <s v="Fail"/>
    <n v="2.1612537475559099"/>
    <n v="2.16125374755591E-2"/>
    <x v="0"/>
    <s v="Route B"/>
    <n v="402.97"/>
  </r>
  <r>
    <x v="1"/>
    <x v="13"/>
    <n v="16.16"/>
    <n v="5"/>
    <n v="249"/>
    <n v="4052.74"/>
    <s v="Male"/>
    <n v="80"/>
    <n v="8"/>
    <s v="Moderate"/>
    <n v="48"/>
    <s v="Medium"/>
    <n v="9"/>
    <x v="1"/>
    <n v="9.5399999999999991"/>
    <s v="Supplier 5"/>
    <s v="Bangalore"/>
    <n v="23"/>
    <n v="173"/>
    <n v="10"/>
    <n v="97.83"/>
    <s v="Pending"/>
    <n v="1.63107423007153"/>
    <n v="1.6310742300715299E-2"/>
    <x v="0"/>
    <s v="Route B"/>
    <n v="547.24"/>
  </r>
  <r>
    <x v="1"/>
    <x v="14"/>
    <n v="99.17"/>
    <n v="26"/>
    <n v="562"/>
    <n v="8653.57"/>
    <s v="Non-Binary"/>
    <n v="54"/>
    <n v="29"/>
    <s v="Slow"/>
    <n v="78"/>
    <s v="Large"/>
    <n v="5"/>
    <x v="0"/>
    <n v="2.04"/>
    <s v="Supplier 1"/>
    <s v="Kolkata"/>
    <n v="25"/>
    <n v="558"/>
    <n v="14"/>
    <n v="5.79"/>
    <s v="Pending"/>
    <n v="0.100682851565093"/>
    <n v="1.0068285156509301E-3"/>
    <x v="1"/>
    <s v="Route B"/>
    <n v="929.24"/>
  </r>
  <r>
    <x v="1"/>
    <x v="15"/>
    <n v="36.99"/>
    <n v="94"/>
    <n v="469"/>
    <n v="5442.09"/>
    <s v="Non-Binary"/>
    <n v="9"/>
    <n v="8"/>
    <s v="Moderate"/>
    <n v="69"/>
    <s v="Large"/>
    <n v="7"/>
    <x v="0"/>
    <n v="2.42"/>
    <s v="Supplier 1"/>
    <s v="Bangalore"/>
    <n v="14"/>
    <n v="580"/>
    <n v="7"/>
    <n v="97.12"/>
    <s v="Pass"/>
    <n v="2.2644057611985402"/>
    <n v="2.2644057611985402E-2"/>
    <x v="3"/>
    <s v="Route B"/>
    <n v="127.86"/>
  </r>
  <r>
    <x v="1"/>
    <x v="16"/>
    <n v="7.55"/>
    <n v="74"/>
    <n v="280"/>
    <n v="6453.8"/>
    <s v="Female"/>
    <n v="2"/>
    <n v="5"/>
    <s v="Fast"/>
    <n v="78"/>
    <s v="Large"/>
    <n v="1"/>
    <x v="0"/>
    <n v="4.1900000000000004"/>
    <s v="Supplier 1"/>
    <s v="Bangalore"/>
    <n v="3"/>
    <n v="399"/>
    <n v="21"/>
    <n v="77.11"/>
    <s v="Pass"/>
    <n v="1.01256308925804"/>
    <n v="1.01256308925804E-2"/>
    <x v="1"/>
    <s v="Route A"/>
    <n v="865.53"/>
  </r>
  <r>
    <x v="2"/>
    <x v="17"/>
    <n v="81.459999999999994"/>
    <n v="82"/>
    <n v="126"/>
    <n v="2629.4"/>
    <s v="Female"/>
    <n v="45"/>
    <n v="17"/>
    <s v="Slow"/>
    <n v="85"/>
    <s v="Large"/>
    <n v="9"/>
    <x v="2"/>
    <n v="3.59"/>
    <s v="Supplier 1"/>
    <s v="Chennai"/>
    <n v="7"/>
    <n v="453"/>
    <n v="16"/>
    <n v="47.68"/>
    <s v="Fail"/>
    <n v="0.102020754918176"/>
    <n v="1.0202075491817599E-3"/>
    <x v="1"/>
    <s v="Route C"/>
    <n v="670.93"/>
  </r>
  <r>
    <x v="0"/>
    <x v="18"/>
    <n v="36.44"/>
    <n v="23"/>
    <n v="620"/>
    <n v="9364.67"/>
    <s v="Unknown"/>
    <n v="10"/>
    <n v="10"/>
    <s v="Moderate"/>
    <n v="46"/>
    <s v="Medium"/>
    <n v="8"/>
    <x v="2"/>
    <n v="4.34"/>
    <s v="Supplier 2"/>
    <s v="Kolkata"/>
    <n v="18"/>
    <n v="374"/>
    <n v="17"/>
    <n v="27.11"/>
    <s v="Pending"/>
    <n v="2.2319391107292601"/>
    <n v="2.2319391107292599E-2"/>
    <x v="3"/>
    <s v="Route A"/>
    <n v="593.48"/>
  </r>
  <r>
    <x v="1"/>
    <x v="19"/>
    <n v="51.12"/>
    <n v="100"/>
    <n v="187"/>
    <n v="2553.5"/>
    <s v="Unknown"/>
    <n v="48"/>
    <n v="11"/>
    <s v="Moderate"/>
    <n v="94"/>
    <s v="Large"/>
    <n v="3"/>
    <x v="1"/>
    <n v="4.74"/>
    <s v="Supplier 4"/>
    <s v="Chennai"/>
    <n v="20"/>
    <n v="694"/>
    <n v="16"/>
    <n v="82.37"/>
    <s v="Fail"/>
    <n v="3.64645086541702"/>
    <n v="3.6464508654170197E-2"/>
    <x v="0"/>
    <s v="Route C"/>
    <n v="477.31"/>
  </r>
  <r>
    <x v="1"/>
    <x v="20"/>
    <n v="96.34"/>
    <n v="22"/>
    <n v="320"/>
    <n v="8128.03"/>
    <s v="Unknown"/>
    <n v="27"/>
    <n v="12"/>
    <s v="Moderate"/>
    <n v="68"/>
    <s v="Large"/>
    <n v="6"/>
    <x v="1"/>
    <n v="8.8800000000000008"/>
    <s v="Supplier 1"/>
    <s v="Chennai"/>
    <n v="29"/>
    <n v="309"/>
    <n v="6"/>
    <n v="65.69"/>
    <s v="Pass"/>
    <n v="4.2314165735345304"/>
    <n v="4.2314165735345306E-2"/>
    <x v="1"/>
    <s v="Route B"/>
    <n v="493.87"/>
  </r>
  <r>
    <x v="2"/>
    <x v="21"/>
    <n v="84.89"/>
    <n v="60"/>
    <n v="601"/>
    <n v="7087.05"/>
    <s v="Unknown"/>
    <n v="69"/>
    <n v="25"/>
    <s v="Slow"/>
    <n v="7"/>
    <s v="Small"/>
    <n v="6"/>
    <x v="0"/>
    <n v="6.04"/>
    <s v="Supplier 5"/>
    <s v="Chennai"/>
    <n v="19"/>
    <n v="791"/>
    <n v="4"/>
    <n v="61.74"/>
    <s v="Pending"/>
    <n v="1.8607567631014899E-2"/>
    <n v="1.8607567631014898E-4"/>
    <x v="1"/>
    <s v="Route C"/>
    <n v="523.36"/>
  </r>
  <r>
    <x v="0"/>
    <x v="22"/>
    <n v="27.68"/>
    <n v="55"/>
    <n v="884"/>
    <n v="2390.81"/>
    <s v="Unknown"/>
    <n v="71"/>
    <n v="1"/>
    <s v="Fast"/>
    <n v="63"/>
    <s v="Large"/>
    <n v="10"/>
    <x v="1"/>
    <n v="9.57"/>
    <s v="Supplier 4"/>
    <s v="Kolkata"/>
    <n v="22"/>
    <n v="780"/>
    <n v="28"/>
    <n v="50.12"/>
    <s v="Fail"/>
    <n v="2.5912754732111098"/>
    <n v="2.5912754732111097E-2"/>
    <x v="2"/>
    <s v="Route C"/>
    <n v="205.57"/>
  </r>
  <r>
    <x v="2"/>
    <x v="23"/>
    <n v="4.32"/>
    <n v="30"/>
    <n v="391"/>
    <n v="8858.3700000000008"/>
    <s v="Unknown"/>
    <n v="84"/>
    <n v="5"/>
    <s v="Fast"/>
    <n v="29"/>
    <s v="Medium"/>
    <n v="7"/>
    <x v="1"/>
    <n v="2.92"/>
    <s v="Supplier 5"/>
    <s v="Kolkata"/>
    <n v="11"/>
    <n v="568"/>
    <n v="29"/>
    <n v="98.61"/>
    <s v="Pending"/>
    <n v="1.3422915627227301"/>
    <n v="1.34229156272273E-2"/>
    <x v="2"/>
    <s v="Route A"/>
    <n v="196.33"/>
  </r>
  <r>
    <x v="0"/>
    <x v="24"/>
    <n v="4.16"/>
    <n v="32"/>
    <n v="209"/>
    <n v="9049.08"/>
    <s v="Male"/>
    <n v="4"/>
    <n v="26"/>
    <s v="Slow"/>
    <n v="2"/>
    <s v="Small"/>
    <n v="8"/>
    <x v="2"/>
    <n v="9.74"/>
    <s v="Supplier 2"/>
    <s v="Bangalore"/>
    <n v="28"/>
    <n v="447"/>
    <n v="3"/>
    <n v="40.380000000000003"/>
    <s v="Pending"/>
    <n v="3.69131029262872"/>
    <n v="3.6913102926287203E-2"/>
    <x v="1"/>
    <s v="Route A"/>
    <n v="758.72"/>
  </r>
  <r>
    <x v="0"/>
    <x v="25"/>
    <n v="39.630000000000003"/>
    <n v="73"/>
    <n v="142"/>
    <n v="2174.7800000000002"/>
    <s v="Male"/>
    <n v="82"/>
    <n v="11"/>
    <s v="Moderate"/>
    <n v="52"/>
    <s v="Medium"/>
    <n v="3"/>
    <x v="2"/>
    <n v="2.23"/>
    <s v="Supplier 4"/>
    <s v="Kolkata"/>
    <n v="19"/>
    <n v="934"/>
    <n v="23"/>
    <n v="78.28"/>
    <s v="Pending"/>
    <n v="3.79723121711418"/>
    <n v="3.7972312171141803E-2"/>
    <x v="0"/>
    <s v="Route B"/>
    <n v="458.54"/>
  </r>
  <r>
    <x v="0"/>
    <x v="26"/>
    <n v="97.45"/>
    <n v="9"/>
    <n v="353"/>
    <n v="3716.49"/>
    <s v="Male"/>
    <n v="59"/>
    <n v="16"/>
    <s v="Slow"/>
    <n v="48"/>
    <s v="Medium"/>
    <n v="4"/>
    <x v="0"/>
    <n v="6.51"/>
    <s v="Supplier 2"/>
    <s v="Bangalore"/>
    <n v="26"/>
    <n v="171"/>
    <n v="4"/>
    <n v="15.97"/>
    <s v="Pass"/>
    <n v="2.1193197367249201"/>
    <n v="2.11931973672492E-2"/>
    <x v="2"/>
    <s v="Route A"/>
    <n v="617.87"/>
  </r>
  <r>
    <x v="2"/>
    <x v="27"/>
    <n v="92.56"/>
    <n v="42"/>
    <n v="352"/>
    <n v="2686.46"/>
    <s v="Unknown"/>
    <n v="47"/>
    <n v="9"/>
    <s v="Moderate"/>
    <n v="62"/>
    <s v="Large"/>
    <n v="8"/>
    <x v="2"/>
    <n v="7.41"/>
    <s v="Supplier 5"/>
    <s v="Mumbai"/>
    <n v="25"/>
    <n v="291"/>
    <n v="4"/>
    <n v="10.53"/>
    <s v="Fail"/>
    <n v="2.8646678378833701"/>
    <n v="2.8646678378833702E-2"/>
    <x v="3"/>
    <s v="Route B"/>
    <n v="762.46"/>
  </r>
  <r>
    <x v="2"/>
    <x v="28"/>
    <n v="2.4"/>
    <n v="12"/>
    <n v="394"/>
    <n v="6117.32"/>
    <s v="Female"/>
    <n v="48"/>
    <n v="15"/>
    <s v="Slow"/>
    <n v="24"/>
    <s v="Medium"/>
    <n v="4"/>
    <x v="0"/>
    <n v="9.9"/>
    <s v="Supplier 1"/>
    <s v="Mumbai"/>
    <n v="13"/>
    <n v="171"/>
    <n v="7"/>
    <n v="59.43"/>
    <s v="Fail"/>
    <n v="0.81575707929567198"/>
    <n v="8.1575707929567205E-3"/>
    <x v="1"/>
    <s v="Route A"/>
    <n v="123.44"/>
  </r>
  <r>
    <x v="2"/>
    <x v="29"/>
    <n v="63.45"/>
    <n v="3"/>
    <n v="253"/>
    <n v="8318.9"/>
    <s v="Female"/>
    <n v="45"/>
    <n v="5"/>
    <s v="Fast"/>
    <n v="67"/>
    <s v="Large"/>
    <n v="7"/>
    <x v="0"/>
    <n v="8.1"/>
    <s v="Supplier 1"/>
    <s v="Kolkata"/>
    <n v="16"/>
    <n v="329"/>
    <n v="7"/>
    <n v="39.29"/>
    <s v="Pass"/>
    <n v="3.8780989365884802"/>
    <n v="3.8780989365884803E-2"/>
    <x v="0"/>
    <s v="Route B"/>
    <n v="764.94"/>
  </r>
  <r>
    <x v="0"/>
    <x v="30"/>
    <n v="8.02"/>
    <n v="10"/>
    <n v="327"/>
    <n v="2766.34"/>
    <s v="Male"/>
    <n v="60"/>
    <n v="26"/>
    <s v="Slow"/>
    <n v="35"/>
    <s v="Medium"/>
    <n v="7"/>
    <x v="0"/>
    <n v="8.9499999999999993"/>
    <s v="Supplier 4"/>
    <s v="Kolkata"/>
    <n v="27"/>
    <n v="806"/>
    <n v="30"/>
    <n v="51.63"/>
    <s v="Pending"/>
    <n v="0.96539470535239302"/>
    <n v="9.6539470535239296E-3"/>
    <x v="0"/>
    <s v="Route C"/>
    <n v="880.08"/>
  </r>
  <r>
    <x v="1"/>
    <x v="31"/>
    <n v="50.85"/>
    <n v="28"/>
    <n v="168"/>
    <n v="9655.14"/>
    <s v="Male"/>
    <n v="6"/>
    <n v="17"/>
    <s v="Slow"/>
    <n v="44"/>
    <s v="Medium"/>
    <n v="4"/>
    <x v="0"/>
    <n v="2.68"/>
    <s v="Supplier 3"/>
    <s v="Chennai"/>
    <n v="24"/>
    <n v="461"/>
    <n v="8"/>
    <n v="60.25"/>
    <s v="Pending"/>
    <n v="2.9890000066550702"/>
    <n v="2.9890000066550702E-2"/>
    <x v="2"/>
    <s v="Route C"/>
    <n v="609.38"/>
  </r>
  <r>
    <x v="1"/>
    <x v="32"/>
    <n v="79.209999999999994"/>
    <n v="43"/>
    <n v="781"/>
    <n v="9571.5499999999993"/>
    <s v="Unknown"/>
    <n v="89"/>
    <n v="13"/>
    <s v="Moderate"/>
    <n v="64"/>
    <s v="Large"/>
    <n v="4"/>
    <x v="2"/>
    <n v="6.6"/>
    <s v="Supplier 3"/>
    <s v="Kolkata"/>
    <n v="30"/>
    <n v="737"/>
    <n v="7"/>
    <n v="29.69"/>
    <s v="Pass"/>
    <n v="1.94603611938611"/>
    <n v="1.94603611938611E-2"/>
    <x v="0"/>
    <s v="Route A"/>
    <n v="761.17"/>
  </r>
  <r>
    <x v="2"/>
    <x v="33"/>
    <n v="64.8"/>
    <n v="63"/>
    <n v="616"/>
    <n v="5150"/>
    <s v="Non-Binary"/>
    <n v="4"/>
    <n v="17"/>
    <s v="Slow"/>
    <n v="95"/>
    <s v="Large"/>
    <n v="9"/>
    <x v="2"/>
    <n v="4.8600000000000003"/>
    <s v="Supplier 5"/>
    <s v="Chennai"/>
    <n v="1"/>
    <n v="251"/>
    <n v="23"/>
    <n v="23.85"/>
    <s v="Fail"/>
    <n v="3.54104601225092"/>
    <n v="3.5410460122509202E-2"/>
    <x v="3"/>
    <s v="Route A"/>
    <n v="371.26"/>
  </r>
  <r>
    <x v="1"/>
    <x v="34"/>
    <n v="37.47"/>
    <n v="96"/>
    <n v="602"/>
    <n v="9061.7099999999991"/>
    <s v="Unknown"/>
    <n v="1"/>
    <n v="26"/>
    <s v="Slow"/>
    <n v="21"/>
    <s v="Medium"/>
    <n v="7"/>
    <x v="1"/>
    <n v="1.02"/>
    <s v="Supplier 1"/>
    <s v="Chennai"/>
    <n v="4"/>
    <n v="452"/>
    <n v="10"/>
    <n v="10.75"/>
    <s v="Pass"/>
    <n v="0.64660455937205397"/>
    <n v="6.4660455937205399E-3"/>
    <x v="0"/>
    <s v="Route B"/>
    <n v="510.36"/>
  </r>
  <r>
    <x v="2"/>
    <x v="35"/>
    <n v="84.96"/>
    <n v="11"/>
    <n v="449"/>
    <n v="6541.33"/>
    <s v="Female"/>
    <n v="42"/>
    <n v="27"/>
    <s v="Slow"/>
    <n v="85"/>
    <s v="Large"/>
    <n v="8"/>
    <x v="2"/>
    <n v="5.29"/>
    <s v="Supplier 1"/>
    <s v="Delhi"/>
    <n v="3"/>
    <n v="367"/>
    <n v="2"/>
    <n v="58"/>
    <s v="Pass"/>
    <n v="0.54115409806058101"/>
    <n v="5.4115409806058104E-3"/>
    <x v="3"/>
    <s v="Route C"/>
    <n v="553.41999999999996"/>
  </r>
  <r>
    <x v="1"/>
    <x v="36"/>
    <n v="9.81"/>
    <n v="34"/>
    <n v="963"/>
    <n v="7573.4"/>
    <s v="Female"/>
    <n v="18"/>
    <n v="23"/>
    <s v="Slow"/>
    <n v="28"/>
    <s v="Medium"/>
    <n v="3"/>
    <x v="0"/>
    <n v="2.11"/>
    <s v="Supplier 2"/>
    <s v="Delhi"/>
    <n v="26"/>
    <n v="671"/>
    <n v="19"/>
    <n v="45.53"/>
    <s v="Fail"/>
    <n v="3.8055333792433501"/>
    <n v="3.8055333792433504E-2"/>
    <x v="1"/>
    <s v="Route C"/>
    <n v="403.81"/>
  </r>
  <r>
    <x v="1"/>
    <x v="37"/>
    <n v="23.4"/>
    <n v="5"/>
    <n v="963"/>
    <n v="2438.34"/>
    <s v="Female"/>
    <n v="25"/>
    <n v="8"/>
    <s v="Moderate"/>
    <n v="21"/>
    <s v="Medium"/>
    <n v="9"/>
    <x v="1"/>
    <n v="1.53"/>
    <s v="Supplier 3"/>
    <s v="Kolkata"/>
    <n v="24"/>
    <n v="867"/>
    <n v="15"/>
    <n v="34.340000000000003"/>
    <s v="Pending"/>
    <n v="2.61028808484811"/>
    <n v="2.61028808484811E-2"/>
    <x v="3"/>
    <s v="Route A"/>
    <n v="183.93"/>
  </r>
  <r>
    <x v="2"/>
    <x v="38"/>
    <n v="52.08"/>
    <n v="75"/>
    <n v="705"/>
    <n v="9692.32"/>
    <s v="Non-Binary"/>
    <n v="69"/>
    <n v="1"/>
    <s v="Fast"/>
    <n v="88"/>
    <s v="Large"/>
    <n v="5"/>
    <x v="0"/>
    <n v="9.24"/>
    <s v="Supplier 5"/>
    <s v="Mumbai"/>
    <n v="10"/>
    <n v="841"/>
    <n v="12"/>
    <n v="5.93"/>
    <s v="Pending"/>
    <n v="0.613326899164507"/>
    <n v="6.1332689916450698E-3"/>
    <x v="1"/>
    <s v="Route B"/>
    <n v="339.67"/>
  </r>
  <r>
    <x v="1"/>
    <x v="39"/>
    <n v="19.13"/>
    <n v="26"/>
    <n v="176"/>
    <n v="1912.47"/>
    <s v="Female"/>
    <n v="78"/>
    <n v="29"/>
    <s v="Slow"/>
    <n v="34"/>
    <s v="Medium"/>
    <n v="3"/>
    <x v="1"/>
    <n v="5.56"/>
    <s v="Supplier 2"/>
    <s v="Kolkata"/>
    <n v="30"/>
    <n v="791"/>
    <n v="6"/>
    <n v="9.01"/>
    <s v="Fail"/>
    <n v="1.4519722039968099"/>
    <n v="1.4519722039968099E-2"/>
    <x v="1"/>
    <s v="Route B"/>
    <n v="653.66999999999996"/>
  </r>
  <r>
    <x v="1"/>
    <x v="40"/>
    <n v="80.540000000000006"/>
    <n v="97"/>
    <n v="933"/>
    <n v="5724.96"/>
    <s v="Female"/>
    <n v="90"/>
    <n v="20"/>
    <s v="Slow"/>
    <n v="39"/>
    <s v="Medium"/>
    <n v="8"/>
    <x v="2"/>
    <n v="7.23"/>
    <s v="Supplier 1"/>
    <s v="Kolkata"/>
    <n v="18"/>
    <n v="793"/>
    <n v="1"/>
    <n v="88.18"/>
    <s v="Pending"/>
    <n v="4.2132694305865597"/>
    <n v="4.2132694305865595E-2"/>
    <x v="0"/>
    <s v="Route A"/>
    <n v="529.80999999999995"/>
  </r>
  <r>
    <x v="1"/>
    <x v="41"/>
    <n v="99.11"/>
    <n v="35"/>
    <n v="556"/>
    <n v="5521.21"/>
    <s v="Female"/>
    <n v="64"/>
    <n v="19"/>
    <s v="Slow"/>
    <n v="38"/>
    <s v="Medium"/>
    <n v="8"/>
    <x v="0"/>
    <n v="5.77"/>
    <s v="Supplier 4"/>
    <s v="Chennai"/>
    <n v="18"/>
    <n v="892"/>
    <n v="7"/>
    <n v="95.33"/>
    <s v="Fail"/>
    <n v="4.5302262398259602E-2"/>
    <n v="4.5302262398259604E-4"/>
    <x v="3"/>
    <s v="Route A"/>
    <n v="275.52"/>
  </r>
  <r>
    <x v="1"/>
    <x v="42"/>
    <n v="46.53"/>
    <n v="98"/>
    <n v="155"/>
    <n v="1839.61"/>
    <s v="Female"/>
    <n v="22"/>
    <n v="27"/>
    <s v="Slow"/>
    <n v="57"/>
    <s v="Medium"/>
    <n v="4"/>
    <x v="2"/>
    <n v="7.53"/>
    <s v="Supplier 5"/>
    <s v="Bangalore"/>
    <n v="26"/>
    <n v="179"/>
    <n v="7"/>
    <n v="96.42"/>
    <s v="Fail"/>
    <n v="4.9392552886209398"/>
    <n v="4.9392552886209397E-2"/>
    <x v="0"/>
    <s v="Route A"/>
    <n v="635.66"/>
  </r>
  <r>
    <x v="0"/>
    <x v="43"/>
    <n v="11.74"/>
    <n v="6"/>
    <n v="598"/>
    <n v="5737.43"/>
    <s v="Unknown"/>
    <n v="36"/>
    <n v="29"/>
    <s v="Slow"/>
    <n v="85"/>
    <s v="Large"/>
    <n v="9"/>
    <x v="0"/>
    <n v="3.69"/>
    <s v="Supplier 5"/>
    <s v="Mumbai"/>
    <n v="1"/>
    <n v="206"/>
    <n v="23"/>
    <n v="26.28"/>
    <s v="Pending"/>
    <n v="0.37230476798509698"/>
    <n v="3.72304767985097E-3"/>
    <x v="1"/>
    <s v="Route A"/>
    <n v="716.04"/>
  </r>
  <r>
    <x v="2"/>
    <x v="44"/>
    <n v="51.36"/>
    <n v="34"/>
    <n v="919"/>
    <n v="7152.29"/>
    <s v="Female"/>
    <n v="13"/>
    <n v="19"/>
    <s v="Slow"/>
    <n v="72"/>
    <s v="Large"/>
    <n v="6"/>
    <x v="2"/>
    <n v="7.58"/>
    <s v="Supplier 2"/>
    <s v="Delhi"/>
    <n v="7"/>
    <n v="834"/>
    <n v="18"/>
    <n v="22.55"/>
    <s v="Fail"/>
    <n v="2.9626263204548802"/>
    <n v="2.9626263204548801E-2"/>
    <x v="2"/>
    <s v="Route A"/>
    <n v="610.45000000000005"/>
  </r>
  <r>
    <x v="0"/>
    <x v="45"/>
    <n v="33.78"/>
    <n v="1"/>
    <n v="24"/>
    <n v="5267.96"/>
    <s v="Male"/>
    <n v="93"/>
    <n v="7"/>
    <s v="Fast"/>
    <n v="52"/>
    <s v="Medium"/>
    <n v="6"/>
    <x v="0"/>
    <n v="5.22"/>
    <s v="Supplier 2"/>
    <s v="Chennai"/>
    <n v="25"/>
    <n v="794"/>
    <n v="25"/>
    <n v="66.31"/>
    <s v="Pass"/>
    <n v="3.2196046120841002"/>
    <n v="3.2196046120841003E-2"/>
    <x v="2"/>
    <s v="Route A"/>
    <n v="495.31"/>
  </r>
  <r>
    <x v="0"/>
    <x v="46"/>
    <n v="27.08"/>
    <n v="75"/>
    <n v="859"/>
    <n v="2556.77"/>
    <s v="Non-Binary"/>
    <n v="92"/>
    <n v="29"/>
    <s v="Slow"/>
    <n v="6"/>
    <s v="Small"/>
    <n v="8"/>
    <x v="0"/>
    <n v="4.07"/>
    <s v="Supplier 3"/>
    <s v="Chennai"/>
    <n v="18"/>
    <n v="870"/>
    <n v="23"/>
    <n v="77.319999999999993"/>
    <s v="Pending"/>
    <n v="3.6486105925361998"/>
    <n v="3.6486105925362E-2"/>
    <x v="0"/>
    <s v="Route B"/>
    <n v="380.44"/>
  </r>
  <r>
    <x v="1"/>
    <x v="47"/>
    <n v="95.71"/>
    <n v="93"/>
    <n v="910"/>
    <n v="7089.47"/>
    <s v="Male"/>
    <n v="4"/>
    <n v="15"/>
    <s v="Slow"/>
    <n v="51"/>
    <s v="Medium"/>
    <n v="9"/>
    <x v="0"/>
    <n v="8.98"/>
    <s v="Supplier 1"/>
    <s v="Kolkata"/>
    <n v="10"/>
    <n v="964"/>
    <n v="20"/>
    <n v="19.71"/>
    <s v="Pending"/>
    <n v="0.38057358671321301"/>
    <n v="3.8057358671321302E-3"/>
    <x v="2"/>
    <s v="Route A"/>
    <n v="581.6"/>
  </r>
  <r>
    <x v="0"/>
    <x v="48"/>
    <n v="76.040000000000006"/>
    <n v="28"/>
    <n v="29"/>
    <n v="7397.07"/>
    <s v="Non-Binary"/>
    <n v="30"/>
    <n v="16"/>
    <s v="Slow"/>
    <n v="9"/>
    <s v="Small"/>
    <n v="3"/>
    <x v="2"/>
    <n v="7.1"/>
    <s v="Supplier 2"/>
    <s v="Mumbai"/>
    <n v="9"/>
    <n v="109"/>
    <n v="18"/>
    <n v="23.13"/>
    <s v="Fail"/>
    <n v="1.6981125407144"/>
    <n v="1.6981125407143999E-2"/>
    <x v="2"/>
    <s v="Route B"/>
    <n v="768.65"/>
  </r>
  <r>
    <x v="2"/>
    <x v="49"/>
    <n v="78.900000000000006"/>
    <n v="19"/>
    <n v="99"/>
    <n v="8001.61"/>
    <s v="Unknown"/>
    <n v="97"/>
    <n v="24"/>
    <s v="Slow"/>
    <n v="9"/>
    <s v="Small"/>
    <n v="6"/>
    <x v="2"/>
    <n v="2.5099999999999998"/>
    <s v="Supplier 5"/>
    <s v="Delhi"/>
    <n v="28"/>
    <n v="177"/>
    <n v="28"/>
    <n v="14.15"/>
    <s v="Pass"/>
    <n v="2.8258139854001301"/>
    <n v="2.8258139854001302E-2"/>
    <x v="2"/>
    <s v="Route A"/>
    <n v="336.89"/>
  </r>
  <r>
    <x v="2"/>
    <x v="50"/>
    <n v="14.2"/>
    <n v="91"/>
    <n v="633"/>
    <n v="5910.89"/>
    <s v="Female"/>
    <n v="31"/>
    <n v="23"/>
    <s v="Slow"/>
    <n v="82"/>
    <s v="Large"/>
    <n v="10"/>
    <x v="1"/>
    <n v="6.25"/>
    <s v="Supplier 2"/>
    <s v="Delhi"/>
    <n v="20"/>
    <n v="306"/>
    <n v="21"/>
    <n v="45.18"/>
    <s v="Fail"/>
    <n v="4.7548008046711798"/>
    <n v="4.7548008046711797E-2"/>
    <x v="2"/>
    <s v="Route B"/>
    <n v="496.25"/>
  </r>
  <r>
    <x v="0"/>
    <x v="51"/>
    <n v="26.7"/>
    <n v="61"/>
    <n v="154"/>
    <n v="9866.4699999999993"/>
    <s v="Male"/>
    <n v="100"/>
    <n v="4"/>
    <s v="Fast"/>
    <n v="52"/>
    <s v="Medium"/>
    <n v="1"/>
    <x v="1"/>
    <n v="4.78"/>
    <s v="Supplier 5"/>
    <s v="Bangalore"/>
    <n v="18"/>
    <n v="673"/>
    <n v="28"/>
    <n v="14.19"/>
    <s v="Pending"/>
    <n v="1.77295117208355"/>
    <n v="1.7729511720835499E-2"/>
    <x v="0"/>
    <s v="Route A"/>
    <n v="694.98"/>
  </r>
  <r>
    <x v="1"/>
    <x v="52"/>
    <n v="98.03"/>
    <n v="1"/>
    <n v="820"/>
    <n v="9435.76"/>
    <s v="Male"/>
    <n v="64"/>
    <n v="11"/>
    <s v="Moderate"/>
    <n v="11"/>
    <s v="Small"/>
    <n v="1"/>
    <x v="0"/>
    <n v="8.6300000000000008"/>
    <s v="Supplier 1"/>
    <s v="Mumbai"/>
    <n v="10"/>
    <n v="727"/>
    <n v="27"/>
    <n v="9.17"/>
    <s v="Pending"/>
    <n v="2.1224716191438202"/>
    <n v="2.1224716191438203E-2"/>
    <x v="1"/>
    <s v="Route C"/>
    <n v="602.9"/>
  </r>
  <r>
    <x v="1"/>
    <x v="53"/>
    <n v="30.34"/>
    <n v="93"/>
    <n v="242"/>
    <n v="8232.33"/>
    <s v="Male"/>
    <n v="96"/>
    <n v="25"/>
    <s v="Slow"/>
    <n v="54"/>
    <s v="Medium"/>
    <n v="3"/>
    <x v="0"/>
    <n v="1.01"/>
    <s v="Supplier 1"/>
    <s v="Delhi"/>
    <n v="1"/>
    <n v="631"/>
    <n v="17"/>
    <n v="83.34"/>
    <s v="Pending"/>
    <n v="1.41034757607602"/>
    <n v="1.41034757607602E-2"/>
    <x v="1"/>
    <s v="Route B"/>
    <n v="750.74"/>
  </r>
  <r>
    <x v="0"/>
    <x v="54"/>
    <n v="31.15"/>
    <n v="11"/>
    <n v="622"/>
    <n v="6088.02"/>
    <s v="Non-Binary"/>
    <n v="33"/>
    <n v="22"/>
    <s v="Slow"/>
    <n v="61"/>
    <s v="Large"/>
    <n v="3"/>
    <x v="0"/>
    <n v="4.3099999999999996"/>
    <s v="Supplier 1"/>
    <s v="Kolkata"/>
    <n v="26"/>
    <n v="497"/>
    <n v="29"/>
    <n v="30.19"/>
    <s v="Pass"/>
    <n v="2.4787719755397402"/>
    <n v="2.4787719755397401E-2"/>
    <x v="0"/>
    <s v="Route B"/>
    <n v="814.07"/>
  </r>
  <r>
    <x v="0"/>
    <x v="55"/>
    <n v="79.86"/>
    <n v="16"/>
    <n v="701"/>
    <n v="2925.68"/>
    <s v="Male"/>
    <n v="97"/>
    <n v="11"/>
    <s v="Moderate"/>
    <n v="11"/>
    <s v="Small"/>
    <n v="5"/>
    <x v="1"/>
    <n v="5.01"/>
    <s v="Supplier 2"/>
    <s v="Delhi"/>
    <n v="27"/>
    <n v="918"/>
    <n v="5"/>
    <n v="30.32"/>
    <s v="Fail"/>
    <n v="4.5489196593963799"/>
    <n v="4.5489196593963797E-2"/>
    <x v="3"/>
    <s v="Route B"/>
    <n v="323.01"/>
  </r>
  <r>
    <x v="1"/>
    <x v="56"/>
    <n v="20.99"/>
    <n v="90"/>
    <n v="93"/>
    <n v="4767.0200000000004"/>
    <s v="Non-Binary"/>
    <n v="25"/>
    <n v="23"/>
    <s v="Slow"/>
    <n v="83"/>
    <s v="Large"/>
    <n v="5"/>
    <x v="2"/>
    <n v="1.77"/>
    <s v="Supplier 1"/>
    <s v="Mumbai"/>
    <n v="24"/>
    <n v="826"/>
    <n v="28"/>
    <n v="12.84"/>
    <s v="Pass"/>
    <n v="1.1737554953874501"/>
    <n v="1.1737554953874501E-2"/>
    <x v="1"/>
    <s v="Route B"/>
    <n v="832.21"/>
  </r>
  <r>
    <x v="0"/>
    <x v="57"/>
    <n v="49.26"/>
    <n v="65"/>
    <n v="227"/>
    <n v="1605.87"/>
    <s v="Unknown"/>
    <n v="5"/>
    <n v="18"/>
    <s v="Slow"/>
    <n v="51"/>
    <s v="Medium"/>
    <n v="1"/>
    <x v="0"/>
    <n v="9.16"/>
    <s v="Supplier 2"/>
    <s v="Delhi"/>
    <n v="21"/>
    <n v="588"/>
    <n v="25"/>
    <n v="67.78"/>
    <s v="Pending"/>
    <n v="2.5111748302126999"/>
    <n v="2.5111748302127E-2"/>
    <x v="2"/>
    <s v="Route A"/>
    <n v="482.19"/>
  </r>
  <r>
    <x v="1"/>
    <x v="58"/>
    <n v="59.84"/>
    <n v="81"/>
    <n v="896"/>
    <n v="2021.15"/>
    <s v="Non-Binary"/>
    <n v="10"/>
    <n v="5"/>
    <s v="Fast"/>
    <n v="44"/>
    <s v="Medium"/>
    <n v="7"/>
    <x v="1"/>
    <n v="4.9400000000000004"/>
    <s v="Supplier 3"/>
    <s v="Delhi"/>
    <n v="18"/>
    <n v="396"/>
    <n v="7"/>
    <n v="65.05"/>
    <s v="Fail"/>
    <n v="1.7303747198591899"/>
    <n v="1.7303747198591898E-2"/>
    <x v="0"/>
    <s v="Route B"/>
    <n v="110.36"/>
  </r>
  <r>
    <x v="2"/>
    <x v="59"/>
    <n v="63.83"/>
    <n v="30"/>
    <n v="484"/>
    <n v="1061.6199999999999"/>
    <s v="Non-Binary"/>
    <n v="100"/>
    <n v="16"/>
    <s v="Slow"/>
    <n v="26"/>
    <s v="Medium"/>
    <n v="7"/>
    <x v="0"/>
    <n v="7.29"/>
    <s v="Supplier 1"/>
    <s v="Kolkata"/>
    <n v="11"/>
    <n v="176"/>
    <n v="4"/>
    <n v="1.9"/>
    <s v="Fail"/>
    <n v="0.44719401546382298"/>
    <n v="4.4719401546382299E-3"/>
    <x v="1"/>
    <s v="Route A"/>
    <n v="312.57"/>
  </r>
  <r>
    <x v="1"/>
    <x v="60"/>
    <n v="17.03"/>
    <n v="16"/>
    <n v="380"/>
    <n v="8864.08"/>
    <s v="Female"/>
    <n v="41"/>
    <n v="27"/>
    <s v="Slow"/>
    <n v="72"/>
    <s v="Large"/>
    <n v="8"/>
    <x v="2"/>
    <n v="4.38"/>
    <s v="Supplier 4"/>
    <s v="Mumbai"/>
    <n v="29"/>
    <n v="929"/>
    <n v="24"/>
    <n v="87.21"/>
    <s v="Fail"/>
    <n v="2.8530906166490499"/>
    <n v="2.85309061664905E-2"/>
    <x v="2"/>
    <s v="Route A"/>
    <n v="430.17"/>
  </r>
  <r>
    <x v="0"/>
    <x v="61"/>
    <n v="52.03"/>
    <n v="23"/>
    <n v="117"/>
    <n v="6885.59"/>
    <s v="Unknown"/>
    <n v="32"/>
    <n v="23"/>
    <s v="Slow"/>
    <n v="36"/>
    <s v="Medium"/>
    <n v="7"/>
    <x v="2"/>
    <n v="9.0299999999999994"/>
    <s v="Supplier 4"/>
    <s v="Kolkata"/>
    <n v="14"/>
    <n v="480"/>
    <n v="12"/>
    <n v="78.7"/>
    <s v="Fail"/>
    <n v="4.3674705382050503"/>
    <n v="4.3674705382050504E-2"/>
    <x v="1"/>
    <s v="Route A"/>
    <n v="164.37"/>
  </r>
  <r>
    <x v="2"/>
    <x v="62"/>
    <n v="72.8"/>
    <n v="89"/>
    <n v="270"/>
    <n v="3899.75"/>
    <s v="Unknown"/>
    <n v="86"/>
    <n v="2"/>
    <s v="Fast"/>
    <n v="40"/>
    <s v="Medium"/>
    <n v="7"/>
    <x v="2"/>
    <n v="7.29"/>
    <s v="Supplier 2"/>
    <s v="Mumbai"/>
    <n v="13"/>
    <n v="751"/>
    <n v="14"/>
    <n v="21.05"/>
    <s v="Pass"/>
    <n v="1.87400140404437"/>
    <n v="1.87400140404437E-2"/>
    <x v="3"/>
    <s v="Route C"/>
    <n v="320.85000000000002"/>
  </r>
  <r>
    <x v="1"/>
    <x v="63"/>
    <n v="13.02"/>
    <n v="55"/>
    <n v="246"/>
    <n v="4256.95"/>
    <s v="Non-Binary"/>
    <n v="54"/>
    <n v="19"/>
    <s v="Slow"/>
    <n v="10"/>
    <s v="Small"/>
    <n v="4"/>
    <x v="1"/>
    <n v="2.46"/>
    <s v="Supplier 3"/>
    <s v="Bangalore"/>
    <n v="18"/>
    <n v="736"/>
    <n v="10"/>
    <n v="20.079999999999998"/>
    <s v="Pending"/>
    <n v="3.6328432903821302"/>
    <n v="3.6328432903821303E-2"/>
    <x v="3"/>
    <s v="Route A"/>
    <n v="687.29"/>
  </r>
  <r>
    <x v="1"/>
    <x v="64"/>
    <n v="89.63"/>
    <n v="11"/>
    <n v="134"/>
    <n v="8458.73"/>
    <s v="Female"/>
    <n v="73"/>
    <n v="27"/>
    <s v="Slow"/>
    <n v="75"/>
    <s v="Large"/>
    <n v="6"/>
    <x v="2"/>
    <n v="4.59"/>
    <s v="Supplier 1"/>
    <s v="Delhi"/>
    <n v="17"/>
    <n v="328"/>
    <n v="6"/>
    <n v="8.69"/>
    <s v="Fail"/>
    <n v="0.15948631471751401"/>
    <n v="1.5948631471751401E-3"/>
    <x v="1"/>
    <s v="Route C"/>
    <n v="771.23"/>
  </r>
  <r>
    <x v="1"/>
    <x v="65"/>
    <n v="33.700000000000003"/>
    <n v="72"/>
    <n v="457"/>
    <n v="8354.58"/>
    <s v="Male"/>
    <n v="57"/>
    <n v="24"/>
    <s v="Slow"/>
    <n v="54"/>
    <s v="Medium"/>
    <n v="8"/>
    <x v="2"/>
    <n v="6.58"/>
    <s v="Supplier 5"/>
    <s v="Kolkata"/>
    <n v="16"/>
    <n v="358"/>
    <n v="21"/>
    <n v="1.6"/>
    <s v="Fail"/>
    <n v="4.9110959548423301"/>
    <n v="4.9110959548423302E-2"/>
    <x v="2"/>
    <s v="Route C"/>
    <n v="555.86"/>
  </r>
  <r>
    <x v="1"/>
    <x v="66"/>
    <n v="26.03"/>
    <n v="52"/>
    <n v="704"/>
    <n v="8367.7199999999993"/>
    <s v="Female"/>
    <n v="13"/>
    <n v="17"/>
    <s v="Slow"/>
    <n v="19"/>
    <s v="Small"/>
    <n v="8"/>
    <x v="1"/>
    <n v="2.2200000000000002"/>
    <s v="Supplier 5"/>
    <s v="Kolkata"/>
    <n v="24"/>
    <n v="867"/>
    <n v="28"/>
    <n v="42.08"/>
    <s v="Fail"/>
    <n v="3.44806328834026"/>
    <n v="3.4480632883402598E-2"/>
    <x v="0"/>
    <s v="Route A"/>
    <n v="393.84"/>
  </r>
  <r>
    <x v="1"/>
    <x v="67"/>
    <n v="87.76"/>
    <n v="16"/>
    <n v="513"/>
    <n v="9473.7999999999993"/>
    <s v="Unknown"/>
    <n v="12"/>
    <n v="9"/>
    <s v="Moderate"/>
    <n v="71"/>
    <s v="Large"/>
    <n v="9"/>
    <x v="2"/>
    <n v="9.15"/>
    <s v="Supplier 1"/>
    <s v="Mumbai"/>
    <n v="10"/>
    <n v="198"/>
    <n v="11"/>
    <n v="7.06"/>
    <s v="Pass"/>
    <n v="0.131955444311814"/>
    <n v="1.31955444311814E-3"/>
    <x v="3"/>
    <s v="Route C"/>
    <n v="169.27"/>
  </r>
  <r>
    <x v="0"/>
    <x v="68"/>
    <n v="37.93"/>
    <n v="29"/>
    <n v="163"/>
    <n v="3550.22"/>
    <s v="Non-Binary"/>
    <n v="0"/>
    <n v="8"/>
    <s v="Moderate"/>
    <n v="58"/>
    <s v="Medium"/>
    <n v="8"/>
    <x v="0"/>
    <n v="1.19"/>
    <s v="Supplier 2"/>
    <s v="Bangalore"/>
    <n v="2"/>
    <n v="375"/>
    <n v="18"/>
    <n v="97.11"/>
    <s v="Fail"/>
    <n v="1.9834678721741801"/>
    <n v="1.98346787217418E-2"/>
    <x v="2"/>
    <s v="Route A"/>
    <n v="299.70999999999998"/>
  </r>
  <r>
    <x v="1"/>
    <x v="69"/>
    <n v="54.87"/>
    <n v="62"/>
    <n v="511"/>
    <n v="1752.38"/>
    <s v="Non-Binary"/>
    <n v="95"/>
    <n v="1"/>
    <s v="Fast"/>
    <n v="27"/>
    <s v="Medium"/>
    <n v="3"/>
    <x v="0"/>
    <n v="9.7100000000000009"/>
    <s v="Supplier 4"/>
    <s v="Kolkata"/>
    <n v="9"/>
    <n v="862"/>
    <n v="7"/>
    <n v="77.63"/>
    <s v="Pending"/>
    <n v="1.3623879886490999"/>
    <n v="1.3623879886490999E-2"/>
    <x v="1"/>
    <s v="Route A"/>
    <n v="207.66"/>
  </r>
  <r>
    <x v="0"/>
    <x v="70"/>
    <n v="47.91"/>
    <n v="90"/>
    <n v="32"/>
    <n v="7014.89"/>
    <s v="Female"/>
    <n v="10"/>
    <n v="12"/>
    <s v="Moderate"/>
    <n v="22"/>
    <s v="Medium"/>
    <n v="4"/>
    <x v="0"/>
    <n v="6.32"/>
    <s v="Supplier 1"/>
    <s v="Bangalore"/>
    <n v="22"/>
    <n v="775"/>
    <n v="16"/>
    <n v="11.44"/>
    <s v="Pass"/>
    <n v="1.8305755986122301"/>
    <n v="1.8305755986122302E-2"/>
    <x v="0"/>
    <s v="Route C"/>
    <n v="183.27"/>
  </r>
  <r>
    <x v="2"/>
    <x v="71"/>
    <n v="6.38"/>
    <n v="14"/>
    <n v="637"/>
    <n v="8180.34"/>
    <s v="Female"/>
    <n v="76"/>
    <n v="2"/>
    <s v="Fast"/>
    <n v="26"/>
    <s v="Medium"/>
    <n v="6"/>
    <x v="1"/>
    <n v="9.23"/>
    <s v="Supplier 2"/>
    <s v="Bangalore"/>
    <n v="2"/>
    <n v="258"/>
    <n v="10"/>
    <n v="30.66"/>
    <s v="Pending"/>
    <n v="2.07875060787496"/>
    <n v="2.0787506078749601E-2"/>
    <x v="0"/>
    <s v="Route A"/>
    <n v="405.17"/>
  </r>
  <r>
    <x v="2"/>
    <x v="72"/>
    <n v="90.2"/>
    <n v="88"/>
    <n v="478"/>
    <n v="2633.12"/>
    <s v="Non-Binary"/>
    <n v="57"/>
    <n v="29"/>
    <s v="Slow"/>
    <n v="77"/>
    <s v="Large"/>
    <n v="9"/>
    <x v="1"/>
    <n v="6.6"/>
    <s v="Supplier 1"/>
    <s v="Bangalore"/>
    <n v="21"/>
    <n v="152"/>
    <n v="11"/>
    <n v="55.76"/>
    <s v="Pending"/>
    <n v="3.2133296074383"/>
    <n v="3.2133296074382998E-2"/>
    <x v="2"/>
    <s v="Route B"/>
    <n v="677.94"/>
  </r>
  <r>
    <x v="2"/>
    <x v="73"/>
    <n v="83.85"/>
    <n v="41"/>
    <n v="375"/>
    <n v="7910.89"/>
    <s v="Male"/>
    <n v="17"/>
    <n v="25"/>
    <s v="Slow"/>
    <n v="66"/>
    <s v="Large"/>
    <n v="5"/>
    <x v="0"/>
    <n v="1.51"/>
    <s v="Supplier 4"/>
    <s v="Chennai"/>
    <n v="13"/>
    <n v="444"/>
    <n v="4"/>
    <n v="46.87"/>
    <s v="Fail"/>
    <n v="4.6205460645137002"/>
    <n v="4.6205460645137003E-2"/>
    <x v="0"/>
    <s v="Route A"/>
    <n v="866.47"/>
  </r>
  <r>
    <x v="0"/>
    <x v="74"/>
    <n v="3.17"/>
    <n v="64"/>
    <n v="904"/>
    <n v="5709.95"/>
    <s v="Female"/>
    <n v="41"/>
    <n v="6"/>
    <s v="Fast"/>
    <n v="1"/>
    <s v="Small"/>
    <n v="5"/>
    <x v="1"/>
    <n v="5.24"/>
    <s v="Supplier 4"/>
    <s v="Delhi"/>
    <n v="1"/>
    <n v="919"/>
    <n v="9"/>
    <n v="80.58"/>
    <s v="Fail"/>
    <n v="0.39661272410993498"/>
    <n v="3.9661272410993495E-3"/>
    <x v="2"/>
    <s v="Route A"/>
    <n v="341.55"/>
  </r>
  <r>
    <x v="1"/>
    <x v="75"/>
    <n v="93"/>
    <n v="29"/>
    <n v="106"/>
    <n v="1889.07"/>
    <s v="Non-Binary"/>
    <n v="16"/>
    <n v="20"/>
    <s v="Slow"/>
    <n v="56"/>
    <s v="Medium"/>
    <n v="10"/>
    <x v="2"/>
    <n v="2.4700000000000002"/>
    <s v="Supplier 1"/>
    <s v="Chennai"/>
    <n v="25"/>
    <n v="759"/>
    <n v="11"/>
    <n v="48.06"/>
    <s v="Pass"/>
    <n v="2.0300690886687498"/>
    <n v="2.0300690886687497E-2"/>
    <x v="1"/>
    <s v="Route C"/>
    <n v="873.13"/>
  </r>
  <r>
    <x v="0"/>
    <x v="76"/>
    <n v="69.11"/>
    <n v="23"/>
    <n v="241"/>
    <n v="5328.38"/>
    <s v="Male"/>
    <n v="38"/>
    <n v="1"/>
    <s v="Fast"/>
    <n v="22"/>
    <s v="Medium"/>
    <n v="10"/>
    <x v="1"/>
    <n v="7.05"/>
    <s v="Supplier 2"/>
    <s v="Bangalore"/>
    <n v="25"/>
    <n v="985"/>
    <n v="24"/>
    <n v="64.319999999999993"/>
    <s v="Pending"/>
    <n v="2.1800374515822099"/>
    <n v="2.1800374515822098E-2"/>
    <x v="2"/>
    <s v="Route A"/>
    <n v="997.41"/>
  </r>
  <r>
    <x v="0"/>
    <x v="77"/>
    <n v="57.45"/>
    <n v="14"/>
    <n v="359"/>
    <n v="2483.7600000000002"/>
    <s v="Unknown"/>
    <n v="96"/>
    <n v="28"/>
    <s v="Slow"/>
    <n v="57"/>
    <s v="Medium"/>
    <n v="4"/>
    <x v="0"/>
    <n v="6.78"/>
    <s v="Supplier 1"/>
    <s v="Kolkata"/>
    <n v="26"/>
    <n v="334"/>
    <n v="5"/>
    <n v="42.95"/>
    <s v="Pass"/>
    <n v="3.0551418183075398"/>
    <n v="3.0551418183075399E-2"/>
    <x v="0"/>
    <s v="Route B"/>
    <n v="852.57"/>
  </r>
  <r>
    <x v="0"/>
    <x v="78"/>
    <n v="6.31"/>
    <n v="50"/>
    <n v="946"/>
    <n v="1292.46"/>
    <s v="Unknown"/>
    <n v="5"/>
    <n v="4"/>
    <s v="Fast"/>
    <n v="51"/>
    <s v="Medium"/>
    <n v="5"/>
    <x v="0"/>
    <n v="8.4700000000000006"/>
    <s v="Supplier 5"/>
    <s v="Mumbai"/>
    <n v="25"/>
    <n v="858"/>
    <n v="21"/>
    <n v="71.13"/>
    <s v="Pending"/>
    <n v="4.0968813324704501"/>
    <n v="4.0968813324704499E-2"/>
    <x v="3"/>
    <s v="Route C"/>
    <n v="323.58999999999997"/>
  </r>
  <r>
    <x v="0"/>
    <x v="79"/>
    <n v="57.06"/>
    <n v="56"/>
    <n v="198"/>
    <n v="7888.72"/>
    <s v="Non-Binary"/>
    <n v="31"/>
    <n v="25"/>
    <s v="Slow"/>
    <n v="20"/>
    <s v="Small"/>
    <n v="1"/>
    <x v="0"/>
    <n v="6.5"/>
    <s v="Supplier 3"/>
    <s v="Bangalore"/>
    <n v="5"/>
    <n v="228"/>
    <n v="12"/>
    <n v="57.87"/>
    <s v="Pending"/>
    <n v="0.16587162748060799"/>
    <n v="1.65871627480608E-3"/>
    <x v="1"/>
    <s v="Route C"/>
    <n v="351.5"/>
  </r>
  <r>
    <x v="1"/>
    <x v="80"/>
    <n v="91.13"/>
    <n v="75"/>
    <n v="872"/>
    <n v="8651.67"/>
    <s v="Unknown"/>
    <n v="39"/>
    <n v="14"/>
    <s v="Moderate"/>
    <n v="41"/>
    <s v="Medium"/>
    <n v="2"/>
    <x v="2"/>
    <n v="2.83"/>
    <s v="Supplier 3"/>
    <s v="Chennai"/>
    <n v="8"/>
    <n v="202"/>
    <n v="5"/>
    <n v="76.959999999999994"/>
    <s v="Fail"/>
    <n v="2.8496621985053299"/>
    <n v="2.8496621985053299E-2"/>
    <x v="3"/>
    <s v="Route B"/>
    <n v="787.78"/>
  </r>
  <r>
    <x v="0"/>
    <x v="81"/>
    <n v="72.819999999999993"/>
    <n v="9"/>
    <n v="774"/>
    <n v="4384.41"/>
    <s v="Unknown"/>
    <n v="48"/>
    <n v="6"/>
    <s v="Fast"/>
    <n v="8"/>
    <s v="Small"/>
    <n v="5"/>
    <x v="0"/>
    <n v="4.07"/>
    <s v="Supplier 3"/>
    <s v="Delhi"/>
    <n v="28"/>
    <n v="698"/>
    <n v="1"/>
    <n v="19.79"/>
    <s v="Pending"/>
    <n v="2.54754712154871"/>
    <n v="2.54754712154871E-2"/>
    <x v="2"/>
    <s v="Route B"/>
    <n v="276.77999999999997"/>
  </r>
  <r>
    <x v="1"/>
    <x v="82"/>
    <n v="17.03"/>
    <n v="13"/>
    <n v="336"/>
    <n v="2943.38"/>
    <s v="Unknown"/>
    <n v="42"/>
    <n v="19"/>
    <s v="Slow"/>
    <n v="72"/>
    <s v="Large"/>
    <n v="1"/>
    <x v="1"/>
    <n v="4.71"/>
    <s v="Supplier 2"/>
    <s v="Mumbai"/>
    <n v="6"/>
    <n v="955"/>
    <n v="26"/>
    <n v="4.47"/>
    <s v="Pending"/>
    <n v="4.1378770486223502"/>
    <n v="4.1378770486223501E-2"/>
    <x v="0"/>
    <s v="Route C"/>
    <n v="589.98"/>
  </r>
  <r>
    <x v="0"/>
    <x v="83"/>
    <n v="68.91"/>
    <n v="82"/>
    <n v="663"/>
    <n v="2411.75"/>
    <s v="Unknown"/>
    <n v="65"/>
    <n v="24"/>
    <s v="Slow"/>
    <n v="7"/>
    <s v="Small"/>
    <n v="8"/>
    <x v="0"/>
    <n v="4.95"/>
    <s v="Supplier 1"/>
    <s v="Bangalore"/>
    <n v="20"/>
    <n v="443"/>
    <n v="5"/>
    <n v="97.73"/>
    <s v="Fail"/>
    <n v="0.77300613406724705"/>
    <n v="7.7300613406724701E-3"/>
    <x v="0"/>
    <s v="Route A"/>
    <n v="682.97"/>
  </r>
  <r>
    <x v="0"/>
    <x v="84"/>
    <n v="89.1"/>
    <n v="99"/>
    <n v="618"/>
    <n v="2048.29"/>
    <s v="Unknown"/>
    <n v="73"/>
    <n v="26"/>
    <s v="Slow"/>
    <n v="80"/>
    <s v="Large"/>
    <n v="10"/>
    <x v="1"/>
    <n v="8.3800000000000008"/>
    <s v="Supplier 5"/>
    <s v="Chennai"/>
    <n v="24"/>
    <n v="589"/>
    <n v="22"/>
    <n v="33.81"/>
    <s v="Pass"/>
    <n v="4.8434565771180402"/>
    <n v="4.8434565771180403E-2"/>
    <x v="1"/>
    <s v="Route B"/>
    <n v="465.46"/>
  </r>
  <r>
    <x v="2"/>
    <x v="85"/>
    <n v="76.959999999999994"/>
    <n v="83"/>
    <n v="25"/>
    <n v="8684.61"/>
    <s v="Female"/>
    <n v="15"/>
    <n v="18"/>
    <s v="Slow"/>
    <n v="66"/>
    <s v="Large"/>
    <n v="2"/>
    <x v="2"/>
    <n v="8.25"/>
    <s v="Supplier 5"/>
    <s v="Chennai"/>
    <n v="4"/>
    <n v="211"/>
    <n v="2"/>
    <n v="69.930000000000007"/>
    <s v="Fail"/>
    <n v="1.3744289997457499"/>
    <n v="1.37442899974575E-2"/>
    <x v="0"/>
    <s v="Route B"/>
    <n v="842.69"/>
  </r>
  <r>
    <x v="1"/>
    <x v="86"/>
    <n v="20"/>
    <n v="18"/>
    <n v="223"/>
    <n v="1229.5899999999999"/>
    <s v="Unknown"/>
    <n v="32"/>
    <n v="14"/>
    <s v="Moderate"/>
    <n v="22"/>
    <s v="Medium"/>
    <n v="6"/>
    <x v="0"/>
    <n v="1.45"/>
    <s v="Supplier 1"/>
    <s v="Mumbai"/>
    <n v="4"/>
    <n v="569"/>
    <n v="18"/>
    <n v="74.61"/>
    <s v="Pass"/>
    <n v="2.0515129307662399"/>
    <n v="2.0515129307662399E-2"/>
    <x v="2"/>
    <s v="Route A"/>
    <n v="264.25"/>
  </r>
  <r>
    <x v="0"/>
    <x v="87"/>
    <n v="80.41"/>
    <n v="24"/>
    <n v="79"/>
    <n v="5133.8500000000004"/>
    <s v="Male"/>
    <n v="5"/>
    <n v="7"/>
    <s v="Fast"/>
    <n v="55"/>
    <s v="Medium"/>
    <n v="10"/>
    <x v="1"/>
    <n v="6.58"/>
    <s v="Supplier 3"/>
    <s v="Chennai"/>
    <n v="27"/>
    <n v="523"/>
    <n v="17"/>
    <n v="28.7"/>
    <s v="Fail"/>
    <n v="3.6937377878392699"/>
    <n v="3.6937377878392699E-2"/>
    <x v="3"/>
    <s v="Route B"/>
    <n v="879.36"/>
  </r>
  <r>
    <x v="2"/>
    <x v="88"/>
    <n v="75.27"/>
    <n v="58"/>
    <n v="737"/>
    <n v="9444.74"/>
    <s v="Male"/>
    <n v="60"/>
    <n v="18"/>
    <s v="Slow"/>
    <n v="85"/>
    <s v="Large"/>
    <n v="7"/>
    <x v="1"/>
    <n v="3.8"/>
    <s v="Supplier 2"/>
    <s v="Mumbai"/>
    <n v="21"/>
    <n v="953"/>
    <n v="11"/>
    <n v="68.180000000000007"/>
    <s v="Pending"/>
    <n v="0.722204401882931"/>
    <n v="7.22204401882931E-3"/>
    <x v="3"/>
    <s v="Route A"/>
    <n v="103.92"/>
  </r>
  <r>
    <x v="2"/>
    <x v="89"/>
    <n v="97.76"/>
    <n v="10"/>
    <n v="134"/>
    <n v="5924.68"/>
    <s v="Unknown"/>
    <n v="90"/>
    <n v="1"/>
    <s v="Fast"/>
    <n v="27"/>
    <s v="Medium"/>
    <n v="8"/>
    <x v="0"/>
    <n v="9.93"/>
    <s v="Supplier 1"/>
    <s v="Kolkata"/>
    <n v="23"/>
    <n v="370"/>
    <n v="11"/>
    <n v="46.6"/>
    <s v="Pending"/>
    <n v="1.9076657339590699"/>
    <n v="1.90766573395907E-2"/>
    <x v="2"/>
    <s v="Route B"/>
    <n v="517.5"/>
  </r>
  <r>
    <x v="1"/>
    <x v="90"/>
    <n v="13.88"/>
    <n v="56"/>
    <n v="320"/>
    <n v="9592.6299999999992"/>
    <s v="Non-Binary"/>
    <n v="66"/>
    <n v="18"/>
    <s v="Slow"/>
    <n v="96"/>
    <s v="Large"/>
    <n v="7"/>
    <x v="0"/>
    <n v="7.67"/>
    <s v="Supplier 3"/>
    <s v="Bangalore"/>
    <n v="8"/>
    <n v="585"/>
    <n v="8"/>
    <n v="85.68"/>
    <s v="Pass"/>
    <n v="1.2193822244013801"/>
    <n v="1.21938222440138E-2"/>
    <x v="2"/>
    <s v="Route B"/>
    <n v="990.08"/>
  </r>
  <r>
    <x v="2"/>
    <x v="91"/>
    <n v="62.11"/>
    <n v="90"/>
    <n v="916"/>
    <n v="1935.21"/>
    <s v="Male"/>
    <n v="98"/>
    <n v="22"/>
    <s v="Slow"/>
    <n v="85"/>
    <s v="Large"/>
    <n v="7"/>
    <x v="0"/>
    <n v="7.47"/>
    <s v="Supplier 4"/>
    <s v="Delhi"/>
    <n v="5"/>
    <n v="207"/>
    <n v="28"/>
    <n v="39.770000000000003"/>
    <s v="Pending"/>
    <n v="0.62600185820939402"/>
    <n v="6.2600185820939399E-3"/>
    <x v="2"/>
    <s v="Route B"/>
    <n v="996.78"/>
  </r>
  <r>
    <x v="2"/>
    <x v="92"/>
    <n v="47.71"/>
    <n v="44"/>
    <n v="276"/>
    <n v="2100.13"/>
    <s v="Male"/>
    <n v="90"/>
    <n v="25"/>
    <s v="Slow"/>
    <n v="10"/>
    <s v="Small"/>
    <n v="8"/>
    <x v="0"/>
    <n v="4.47"/>
    <s v="Supplier 2"/>
    <s v="Mumbai"/>
    <n v="4"/>
    <n v="671"/>
    <n v="29"/>
    <n v="62.61"/>
    <s v="Pass"/>
    <n v="0.33343182522473902"/>
    <n v="3.3343182522473903E-3"/>
    <x v="2"/>
    <s v="Route B"/>
    <n v="230.09"/>
  </r>
  <r>
    <x v="0"/>
    <x v="93"/>
    <n v="69.290000000000006"/>
    <n v="88"/>
    <n v="114"/>
    <n v="4531.3999999999996"/>
    <s v="Unknown"/>
    <n v="63"/>
    <n v="17"/>
    <s v="Slow"/>
    <n v="66"/>
    <s v="Large"/>
    <n v="1"/>
    <x v="2"/>
    <n v="7.01"/>
    <s v="Supplier 4"/>
    <s v="Chennai"/>
    <n v="21"/>
    <n v="824"/>
    <n v="20"/>
    <n v="35.630000000000003"/>
    <s v="Fail"/>
    <n v="4.1657817954241398"/>
    <n v="4.1657817954241401E-2"/>
    <x v="1"/>
    <s v="Route A"/>
    <n v="823.52"/>
  </r>
  <r>
    <x v="2"/>
    <x v="94"/>
    <n v="3.04"/>
    <n v="97"/>
    <n v="987"/>
    <n v="7888.36"/>
    <s v="Unknown"/>
    <n v="77"/>
    <n v="26"/>
    <s v="Slow"/>
    <n v="72"/>
    <s v="Large"/>
    <n v="9"/>
    <x v="0"/>
    <n v="6.94"/>
    <s v="Supplier 2"/>
    <s v="Delhi"/>
    <n v="12"/>
    <n v="908"/>
    <n v="14"/>
    <n v="60.39"/>
    <s v="Pass"/>
    <n v="1.4636074984727701"/>
    <n v="1.4636074984727701E-2"/>
    <x v="2"/>
    <s v="Route B"/>
    <n v="846.67"/>
  </r>
  <r>
    <x v="0"/>
    <x v="95"/>
    <n v="77.900000000000006"/>
    <n v="65"/>
    <n v="672"/>
    <n v="7386.36"/>
    <s v="Unknown"/>
    <n v="15"/>
    <n v="14"/>
    <s v="Moderate"/>
    <n v="26"/>
    <s v="Medium"/>
    <n v="9"/>
    <x v="0"/>
    <n v="8.6300000000000008"/>
    <s v="Supplier 4"/>
    <s v="Mumbai"/>
    <n v="18"/>
    <n v="450"/>
    <n v="26"/>
    <n v="58.89"/>
    <s v="Pending"/>
    <n v="1.21088212958506"/>
    <n v="1.21088212958506E-2"/>
    <x v="1"/>
    <s v="Route A"/>
    <n v="778.86"/>
  </r>
  <r>
    <x v="2"/>
    <x v="96"/>
    <n v="24.42"/>
    <n v="29"/>
    <n v="324"/>
    <n v="7698.42"/>
    <s v="Non-Binary"/>
    <n v="67"/>
    <n v="2"/>
    <s v="Fast"/>
    <n v="32"/>
    <s v="Medium"/>
    <n v="3"/>
    <x v="2"/>
    <n v="5.35"/>
    <s v="Supplier 3"/>
    <s v="Mumbai"/>
    <n v="28"/>
    <n v="648"/>
    <n v="28"/>
    <n v="17.8"/>
    <s v="Pending"/>
    <n v="3.8720476814821301"/>
    <n v="3.8720476814821297E-2"/>
    <x v="0"/>
    <s v="Route A"/>
    <n v="188.74"/>
  </r>
  <r>
    <x v="0"/>
    <x v="97"/>
    <n v="3.53"/>
    <n v="56"/>
    <n v="62"/>
    <n v="4370.92"/>
    <s v="Male"/>
    <n v="46"/>
    <n v="19"/>
    <s v="Slow"/>
    <n v="4"/>
    <s v="Small"/>
    <n v="9"/>
    <x v="1"/>
    <n v="7.9"/>
    <s v="Supplier 4"/>
    <s v="Mumbai"/>
    <n v="10"/>
    <n v="535"/>
    <n v="13"/>
    <n v="65.77"/>
    <s v="Fail"/>
    <n v="3.3762378347179798"/>
    <n v="3.3762378347179794E-2"/>
    <x v="0"/>
    <s v="Route A"/>
    <n v="540.13"/>
  </r>
  <r>
    <x v="1"/>
    <x v="98"/>
    <n v="19.75"/>
    <n v="43"/>
    <n v="913"/>
    <n v="8525.9500000000007"/>
    <s v="Female"/>
    <n v="53"/>
    <n v="1"/>
    <s v="Fast"/>
    <n v="27"/>
    <s v="Medium"/>
    <n v="7"/>
    <x v="0"/>
    <n v="1.41"/>
    <s v="Supplier 5"/>
    <s v="Chennai"/>
    <n v="28"/>
    <n v="581"/>
    <n v="9"/>
    <n v="5.6"/>
    <s v="Pending"/>
    <n v="2.9081221693512598"/>
    <n v="2.9081221693512599E-2"/>
    <x v="2"/>
    <s v="Route A"/>
    <n v="882.2"/>
  </r>
  <r>
    <x v="0"/>
    <x v="99"/>
    <n v="68.52"/>
    <n v="17"/>
    <n v="627"/>
    <n v="9185.19"/>
    <s v="Unknown"/>
    <n v="55"/>
    <n v="8"/>
    <s v="Moderate"/>
    <n v="59"/>
    <s v="Medium"/>
    <n v="6"/>
    <x v="0"/>
    <n v="1.31"/>
    <s v="Supplier 2"/>
    <s v="Chennai"/>
    <n v="29"/>
    <n v="921"/>
    <n v="2"/>
    <n v="38.07"/>
    <s v="Fail"/>
    <n v="0.34602729070550298"/>
    <n v="3.46027290705503E-3"/>
    <x v="2"/>
    <s v="Route B"/>
    <n v="210.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2B368-80E0-4F01-9A60-F7A29DA651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 Type">
  <location ref="A3:C7" firstHeaderRow="0" firstDataRow="1" firstDataCol="1"/>
  <pivotFields count="27">
    <pivotField axis="axisRow" showAll="0">
      <items count="4">
        <item x="2"/>
        <item x="0"/>
        <item x="1"/>
        <item t="default"/>
      </items>
    </pivotField>
    <pivotField showAll="0"/>
    <pivotField dataField="1" numFmtId="164" showAll="0"/>
    <pivotField numFmtId="1" showAll="0"/>
    <pivotField numFmtId="1" showAll="0"/>
    <pivotField dataField="1" numFmtId="164" showAll="0"/>
    <pivotField showAll="0"/>
    <pivotField numFmtId="1" showAll="0"/>
    <pivotField numFmtId="1" showAll="0"/>
    <pivotField showAll="0"/>
    <pivotField numFmtId="1" showAll="0"/>
    <pivotField showAll="0"/>
    <pivotField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0"/>
  </rowFields>
  <rowItems count="4">
    <i>
      <x/>
    </i>
    <i>
      <x v="1"/>
    </i>
    <i>
      <x v="2"/>
    </i>
    <i t="grand">
      <x/>
    </i>
  </rowItems>
  <colFields count="1">
    <field x="-2"/>
  </colFields>
  <colItems count="2">
    <i>
      <x/>
    </i>
    <i i="1">
      <x v="1"/>
    </i>
  </colItems>
  <dataFields count="2">
    <dataField name="Average Price" fld="2" subtotal="average" baseField="0" baseItem="0" numFmtId="164"/>
    <dataField name="Sum Revenue" fld="5" baseField="0" baseItem="0" numFmtId="164"/>
  </dataFields>
  <formats count="18">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fieldPosition="0">
        <references count="1">
          <reference field="4294967294" count="2">
            <x v="0"/>
            <x v="1"/>
          </reference>
        </references>
      </pivotArea>
    </format>
    <format dxfId="195">
      <pivotArea type="all" dataOnly="0" outline="0" fieldPosition="0"/>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0" count="0"/>
        </references>
      </pivotArea>
    </format>
    <format dxfId="191">
      <pivotArea dataOnly="0" labelOnly="1" grandRow="1" outline="0" fieldPosition="0"/>
    </format>
    <format dxfId="190">
      <pivotArea dataOnly="0" labelOnly="1" outline="0" fieldPosition="0">
        <references count="1">
          <reference field="4294967294" count="2">
            <x v="0"/>
            <x v="1"/>
          </reference>
        </references>
      </pivotArea>
    </format>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outline="0" fieldPosition="0">
        <references count="1">
          <reference field="4294967294" count="2">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2"/>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1"/>
          </reference>
          <reference field="0"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F32EDC-D7D8-4A4F-BFF5-B291321D5AB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Type">
  <location ref="A3:B7" firstHeaderRow="1" firstDataRow="1" firstDataCol="1"/>
  <pivotFields count="27">
    <pivotField axis="axisRow" showAll="0">
      <items count="4">
        <item x="2"/>
        <item x="0"/>
        <item x="1"/>
        <item t="default"/>
      </items>
    </pivotField>
    <pivotField showAll="0"/>
    <pivotField numFmtId="164" showAll="0"/>
    <pivotField numFmtId="1" showAll="0"/>
    <pivotField dataField="1" numFmtId="1" showAll="0"/>
    <pivotField numFmtId="164" showAll="0"/>
    <pivotField showAll="0"/>
    <pivotField numFmtId="1" showAll="0"/>
    <pivotField numFmtId="1" showAll="0"/>
    <pivotField showAll="0"/>
    <pivotField numFmtId="1" showAll="0"/>
    <pivotField showAll="0"/>
    <pivotField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0"/>
  </rowFields>
  <rowItems count="4">
    <i>
      <x/>
    </i>
    <i>
      <x v="1"/>
    </i>
    <i>
      <x v="2"/>
    </i>
    <i t="grand">
      <x/>
    </i>
  </rowItems>
  <colItems count="1">
    <i/>
  </colItems>
  <dataFields count="1">
    <dataField name="Sum Number of Products Sold" fld="4" showDataAs="percentOfTotal" baseField="0" baseItem="0" numFmtId="10"/>
  </dataFields>
  <formats count="24">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axis="axisValues" fieldPosition="0"/>
    </format>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axis="axisValues" fieldPosition="0"/>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field="0" type="button" dataOnly="0" labelOnly="1" outline="0" axis="axisRow" fieldPosition="0"/>
    </format>
    <format dxfId="162">
      <pivotArea dataOnly="0" labelOnly="1" fieldPosition="0">
        <references count="1">
          <reference field="0" count="0"/>
        </references>
      </pivotArea>
    </format>
    <format dxfId="161">
      <pivotArea dataOnly="0" labelOnly="1" grandRow="1" outline="0" fieldPosition="0"/>
    </format>
    <format dxfId="160">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6C6ECF-4D1E-4568-BB66-D3BAF660F76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pping Carriers">
  <location ref="A3:B7" firstHeaderRow="1" firstDataRow="1" firstDataCol="1"/>
  <pivotFields count="27">
    <pivotField showAll="0">
      <items count="4">
        <item x="2"/>
        <item x="0"/>
        <item x="1"/>
        <item t="default"/>
      </items>
    </pivotField>
    <pivotField showAll="0"/>
    <pivotField numFmtId="164" showAll="0"/>
    <pivotField numFmtId="1" showAll="0"/>
    <pivotField numFmtId="1" showAll="0"/>
    <pivotField dataField="1" numFmtId="164" showAll="0"/>
    <pivotField showAll="0"/>
    <pivotField numFmtId="1" showAll="0"/>
    <pivotField numFmtId="1" showAll="0"/>
    <pivotField showAll="0"/>
    <pivotField numFmtId="1" showAll="0"/>
    <pivotField showAll="0"/>
    <pivotField numFmtId="1" showAll="0"/>
    <pivotField axis="axisRow"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13"/>
  </rowFields>
  <rowItems count="4">
    <i>
      <x/>
    </i>
    <i>
      <x v="1"/>
    </i>
    <i>
      <x v="2"/>
    </i>
    <i t="grand">
      <x/>
    </i>
  </rowItems>
  <colItems count="1">
    <i/>
  </colItems>
  <dataFields count="1">
    <dataField name="Sum of Revenue" fld="5" baseField="0" baseItem="0" numFmtId="164"/>
  </dataFields>
  <formats count="24">
    <format dxfId="159">
      <pivotArea type="all" dataOnly="0" outline="0" fieldPosition="0"/>
    </format>
    <format dxfId="158">
      <pivotArea outline="0" collapsedLevelsAreSubtotals="1" fieldPosition="0"/>
    </format>
    <format dxfId="157">
      <pivotArea field="13" type="button" dataOnly="0" labelOnly="1" outline="0" axis="axisRow" fieldPosition="0"/>
    </format>
    <format dxfId="156">
      <pivotArea dataOnly="0" labelOnly="1" fieldPosition="0">
        <references count="1">
          <reference field="13" count="0"/>
        </references>
      </pivotArea>
    </format>
    <format dxfId="155">
      <pivotArea dataOnly="0" labelOnly="1" grandRow="1" outline="0" fieldPosition="0"/>
    </format>
    <format dxfId="154">
      <pivotArea dataOnly="0" labelOnly="1" outline="0" axis="axisValues" fieldPosition="0"/>
    </format>
    <format dxfId="153">
      <pivotArea type="all" dataOnly="0" outline="0" fieldPosition="0"/>
    </format>
    <format dxfId="152">
      <pivotArea outline="0" collapsedLevelsAreSubtotals="1" fieldPosition="0"/>
    </format>
    <format dxfId="151">
      <pivotArea field="13" type="button" dataOnly="0" labelOnly="1" outline="0" axis="axisRow" fieldPosition="0"/>
    </format>
    <format dxfId="150">
      <pivotArea dataOnly="0" labelOnly="1" fieldPosition="0">
        <references count="1">
          <reference field="13" count="0"/>
        </references>
      </pivotArea>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13" type="button" dataOnly="0" labelOnly="1" outline="0" axis="axisRow" fieldPosition="0"/>
    </format>
    <format dxfId="144">
      <pivotArea dataOnly="0" labelOnly="1" fieldPosition="0">
        <references count="1">
          <reference field="13" count="0"/>
        </references>
      </pivotArea>
    </format>
    <format dxfId="143">
      <pivotArea dataOnly="0" labelOnly="1" grandRow="1"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13" type="button" dataOnly="0" labelOnly="1" outline="0" axis="axisRow" fieldPosition="0"/>
    </format>
    <format dxfId="138">
      <pivotArea dataOnly="0" labelOnly="1" fieldPosition="0">
        <references count="1">
          <reference field="13" count="0"/>
        </references>
      </pivotArea>
    </format>
    <format dxfId="137">
      <pivotArea dataOnly="0" labelOnly="1" grandRow="1" outline="0" fieldPosition="0"/>
    </format>
    <format dxfId="13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90927D-C911-4E4F-82F9-A883302342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KU(s)">
  <location ref="A3:B14" firstHeaderRow="1" firstDataRow="1" firstDataCol="1"/>
  <pivotFields count="27">
    <pivotField showAll="0">
      <items count="4">
        <item x="2"/>
        <item x="0"/>
        <item x="1"/>
        <item t="default"/>
      </items>
    </pivotField>
    <pivotField axis="axisRow"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numFmtId="1" showAll="0"/>
    <pivotField numFmtId="1" showAll="0"/>
    <pivotField dataField="1" numFmtId="164" showAll="0"/>
    <pivotField showAll="0"/>
    <pivotField numFmtId="1" showAll="0"/>
    <pivotField numFmtId="1" showAll="0"/>
    <pivotField showAll="0"/>
    <pivotField numFmtId="1" showAll="0"/>
    <pivotField showAll="0"/>
    <pivotField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1"/>
  </rowFields>
  <rowItems count="11">
    <i>
      <x v="10"/>
    </i>
    <i>
      <x v="12"/>
    </i>
    <i>
      <x v="25"/>
    </i>
    <i>
      <x v="26"/>
    </i>
    <i>
      <x v="32"/>
    </i>
    <i>
      <x v="47"/>
    </i>
    <i>
      <x v="48"/>
    </i>
    <i>
      <x v="64"/>
    </i>
    <i>
      <x v="87"/>
    </i>
    <i>
      <x v="90"/>
    </i>
    <i t="grand">
      <x/>
    </i>
  </rowItems>
  <colItems count="1">
    <i/>
  </colItems>
  <dataFields count="1">
    <dataField name="Sum of Revenue" fld="5" baseField="0" baseItem="0" numFmtId="164"/>
  </dataFields>
  <formats count="24">
    <format dxfId="135">
      <pivotArea type="all" dataOnly="0" outline="0" fieldPosition="0"/>
    </format>
    <format dxfId="134">
      <pivotArea outline="0" collapsedLevelsAreSubtotals="1" fieldPosition="0"/>
    </format>
    <format dxfId="133">
      <pivotArea field="1" type="button" dataOnly="0" labelOnly="1" outline="0" axis="axisRow" fieldPosition="0"/>
    </format>
    <format dxfId="132">
      <pivotArea dataOnly="0" labelOnly="1" fieldPosition="0">
        <references count="1">
          <reference field="1" count="10">
            <x v="10"/>
            <x v="12"/>
            <x v="25"/>
            <x v="26"/>
            <x v="32"/>
            <x v="47"/>
            <x v="48"/>
            <x v="64"/>
            <x v="87"/>
            <x v="90"/>
          </reference>
        </references>
      </pivotArea>
    </format>
    <format dxfId="131">
      <pivotArea dataOnly="0" labelOnly="1" grandRow="1" outline="0"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field="1" type="button" dataOnly="0" labelOnly="1" outline="0" axis="axisRow" fieldPosition="0"/>
    </format>
    <format dxfId="126">
      <pivotArea dataOnly="0" labelOnly="1" fieldPosition="0">
        <references count="1">
          <reference field="1" count="10">
            <x v="10"/>
            <x v="12"/>
            <x v="25"/>
            <x v="26"/>
            <x v="32"/>
            <x v="47"/>
            <x v="48"/>
            <x v="64"/>
            <x v="87"/>
            <x v="90"/>
          </reference>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1" type="button" dataOnly="0" labelOnly="1" outline="0" axis="axisRow" fieldPosition="0"/>
    </format>
    <format dxfId="120">
      <pivotArea dataOnly="0" labelOnly="1" fieldPosition="0">
        <references count="1">
          <reference field="1" count="10">
            <x v="10"/>
            <x v="12"/>
            <x v="25"/>
            <x v="26"/>
            <x v="32"/>
            <x v="47"/>
            <x v="48"/>
            <x v="64"/>
            <x v="87"/>
            <x v="90"/>
          </reference>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 type="button" dataOnly="0" labelOnly="1" outline="0" axis="axisRow" fieldPosition="0"/>
    </format>
    <format dxfId="114">
      <pivotArea dataOnly="0" labelOnly="1" fieldPosition="0">
        <references count="1">
          <reference field="1" count="10">
            <x v="10"/>
            <x v="12"/>
            <x v="25"/>
            <x v="26"/>
            <x v="32"/>
            <x v="47"/>
            <x v="48"/>
            <x v="64"/>
            <x v="87"/>
            <x v="90"/>
          </reference>
        </references>
      </pivotArea>
    </format>
    <format dxfId="113">
      <pivotArea dataOnly="0" labelOnly="1" grandRow="1" outline="0" fieldPosition="0"/>
    </format>
    <format dxfId="1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C5672E-D8B3-4568-B2F2-E16C15017F0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KU(s)">
  <location ref="A3:B15" firstHeaderRow="1" firstDataRow="1" firstDataCol="1"/>
  <pivotFields count="27">
    <pivotField showAll="0">
      <items count="4">
        <item x="2"/>
        <item x="0"/>
        <item x="1"/>
        <item t="default"/>
      </items>
    </pivotField>
    <pivotField axis="axisRow"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numFmtId="164" showAll="0"/>
    <pivotField numFmtId="1" showAll="0"/>
    <pivotField numFmtId="1" showAll="0"/>
    <pivotField numFmtId="164" showAll="0"/>
    <pivotField showAll="0"/>
    <pivotField dataField="1" numFmtId="1" showAll="0"/>
    <pivotField numFmtId="1" showAll="0"/>
    <pivotField showAll="0"/>
    <pivotField numFmtId="1" showAll="0"/>
    <pivotField showAll="0"/>
    <pivotField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1"/>
  </rowFields>
  <rowItems count="12">
    <i>
      <x v="4"/>
    </i>
    <i>
      <x v="40"/>
    </i>
    <i>
      <x v="44"/>
    </i>
    <i>
      <x v="47"/>
    </i>
    <i>
      <x v="49"/>
    </i>
    <i>
      <x v="51"/>
    </i>
    <i>
      <x v="55"/>
    </i>
    <i>
      <x v="66"/>
    </i>
    <i>
      <x v="67"/>
    </i>
    <i>
      <x v="75"/>
    </i>
    <i>
      <x v="91"/>
    </i>
    <i t="grand">
      <x/>
    </i>
  </rowItems>
  <colItems count="1">
    <i/>
  </colItems>
  <dataFields count="1">
    <dataField name="Sum Stock Levels" fld="7" baseField="1" baseItem="4" numFmtId="1"/>
  </dataFields>
  <formats count="24">
    <format dxfId="111">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dataOnly="0" labelOnly="1" fieldPosition="0">
        <references count="1">
          <reference field="1" count="11">
            <x v="4"/>
            <x v="40"/>
            <x v="44"/>
            <x v="47"/>
            <x v="49"/>
            <x v="51"/>
            <x v="55"/>
            <x v="66"/>
            <x v="67"/>
            <x v="75"/>
            <x v="91"/>
          </reference>
        </references>
      </pivotArea>
    </format>
    <format dxfId="107">
      <pivotArea dataOnly="0" labelOnly="1" grandRow="1" outline="0" fieldPosition="0"/>
    </format>
    <format dxfId="106">
      <pivotArea dataOnly="0" labelOnly="1" outline="0" axis="axisValues" fieldPosition="0"/>
    </format>
    <format dxfId="105">
      <pivotArea type="all" dataOnly="0" outline="0" fieldPosition="0"/>
    </format>
    <format dxfId="104">
      <pivotArea outline="0" collapsedLevelsAreSubtotals="1" fieldPosition="0"/>
    </format>
    <format dxfId="103">
      <pivotArea field="1" type="button" dataOnly="0" labelOnly="1" outline="0" axis="axisRow" fieldPosition="0"/>
    </format>
    <format dxfId="102">
      <pivotArea dataOnly="0" labelOnly="1" fieldPosition="0">
        <references count="1">
          <reference field="1" count="11">
            <x v="4"/>
            <x v="40"/>
            <x v="44"/>
            <x v="47"/>
            <x v="49"/>
            <x v="51"/>
            <x v="55"/>
            <x v="66"/>
            <x v="67"/>
            <x v="75"/>
            <x v="91"/>
          </reference>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 type="button" dataOnly="0" labelOnly="1" outline="0" axis="axisRow" fieldPosition="0"/>
    </format>
    <format dxfId="96">
      <pivotArea dataOnly="0" labelOnly="1" fieldPosition="0">
        <references count="1">
          <reference field="1" count="11">
            <x v="4"/>
            <x v="40"/>
            <x v="44"/>
            <x v="47"/>
            <x v="49"/>
            <x v="51"/>
            <x v="55"/>
            <x v="66"/>
            <x v="67"/>
            <x v="75"/>
            <x v="91"/>
          </reference>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11">
            <x v="4"/>
            <x v="40"/>
            <x v="44"/>
            <x v="47"/>
            <x v="49"/>
            <x v="51"/>
            <x v="55"/>
            <x v="66"/>
            <x v="67"/>
            <x v="75"/>
            <x v="91"/>
          </reference>
        </references>
      </pivotArea>
    </format>
    <format dxfId="89">
      <pivotArea dataOnly="0" labelOnly="1" grandRow="1" outline="0" fieldPosition="0"/>
    </format>
    <format dxfId="8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D3E995-743A-4E21-AF4C-51C025E3AC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pping Carriers">
  <location ref="A3:B7" firstHeaderRow="1" firstDataRow="1" firstDataCol="1"/>
  <pivotFields count="27">
    <pivotField showAll="0">
      <items count="4">
        <item x="2"/>
        <item x="0"/>
        <item x="1"/>
        <item t="default"/>
      </items>
    </pivotField>
    <pivotField showAll="0"/>
    <pivotField numFmtId="164" showAll="0"/>
    <pivotField numFmtId="1" showAll="0"/>
    <pivotField numFmtId="1" showAll="0"/>
    <pivotField numFmtId="164" showAll="0"/>
    <pivotField showAll="0"/>
    <pivotField numFmtId="1" showAll="0"/>
    <pivotField numFmtId="1" showAll="0"/>
    <pivotField showAll="0"/>
    <pivotField numFmtId="1" showAll="0"/>
    <pivotField showAll="0"/>
    <pivotField numFmtId="1" showAll="0"/>
    <pivotField axis="axisRow"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numFmtId="10" showAll="0"/>
    <pivotField numFmtId="10" showAll="0"/>
    <pivotField showAll="0">
      <items count="5">
        <item x="1"/>
        <item x="2"/>
        <item x="0"/>
        <item x="3"/>
        <item t="default"/>
      </items>
    </pivotField>
    <pivotField showAll="0"/>
    <pivotField numFmtId="164" showAll="0"/>
  </pivotFields>
  <rowFields count="1">
    <field x="13"/>
  </rowFields>
  <rowItems count="4">
    <i>
      <x/>
    </i>
    <i>
      <x v="1"/>
    </i>
    <i>
      <x v="2"/>
    </i>
    <i t="grand">
      <x/>
    </i>
  </rowItems>
  <colItems count="1">
    <i/>
  </colItems>
  <dataFields count="1">
    <dataField name="Sum of Shipping Cost" fld="14" baseField="0" baseItem="0" numFmtId="164"/>
  </dataFields>
  <formats count="24">
    <format dxfId="87">
      <pivotArea type="all" dataOnly="0" outline="0" fieldPosition="0"/>
    </format>
    <format dxfId="86">
      <pivotArea outline="0" collapsedLevelsAreSubtotals="1" fieldPosition="0"/>
    </format>
    <format dxfId="85">
      <pivotArea field="13" type="button" dataOnly="0" labelOnly="1" outline="0" axis="axisRow" fieldPosition="0"/>
    </format>
    <format dxfId="84">
      <pivotArea dataOnly="0" labelOnly="1" fieldPosition="0">
        <references count="1">
          <reference field="13"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3" type="button" dataOnly="0" labelOnly="1" outline="0" axis="axisRow" fieldPosition="0"/>
    </format>
    <format dxfId="78">
      <pivotArea dataOnly="0" labelOnly="1" fieldPosition="0">
        <references count="1">
          <reference field="13"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13" type="button" dataOnly="0" labelOnly="1" outline="0" axis="axisRow" fieldPosition="0"/>
    </format>
    <format dxfId="72">
      <pivotArea dataOnly="0" labelOnly="1" fieldPosition="0">
        <references count="1">
          <reference field="13"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13" type="button" dataOnly="0" labelOnly="1" outline="0" axis="axisRow" fieldPosition="0"/>
    </format>
    <format dxfId="66">
      <pivotArea dataOnly="0" labelOnly="1" fieldPosition="0">
        <references count="1">
          <reference field="13" count="0"/>
        </references>
      </pivotArea>
    </format>
    <format dxfId="65">
      <pivotArea dataOnly="0" labelOnly="1" grandRow="1" outline="0" fieldPosition="0"/>
    </format>
    <format dxfId="64">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F9D317-A2CC-4A6E-B02C-6E45EF26F3B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ansportation Modes">
  <location ref="A3:B8" firstHeaderRow="1" firstDataRow="1" firstDataCol="1"/>
  <pivotFields count="27">
    <pivotField showAll="0">
      <items count="4">
        <item x="2"/>
        <item x="0"/>
        <item x="1"/>
        <item t="default"/>
      </items>
    </pivotField>
    <pivotField showAll="0"/>
    <pivotField numFmtId="164" showAll="0"/>
    <pivotField numFmtId="1" showAll="0"/>
    <pivotField numFmtId="1" showAll="0"/>
    <pivotField numFmtId="164" showAll="0"/>
    <pivotField showAll="0"/>
    <pivotField numFmtId="1" showAll="0"/>
    <pivotField numFmtId="1" showAll="0"/>
    <pivotField showAll="0"/>
    <pivotField numFmtId="1" showAll="0"/>
    <pivotField showAll="0"/>
    <pivotField numFmtId="1" showAll="0"/>
    <pivotField showAll="0">
      <items count="4">
        <item x="1"/>
        <item x="0"/>
        <item x="2"/>
        <item t="default"/>
      </items>
    </pivotField>
    <pivotField dataField="1" numFmtId="164" showAll="0"/>
    <pivotField showAll="0"/>
    <pivotField showAll="0"/>
    <pivotField numFmtId="1" showAll="0"/>
    <pivotField numFmtId="1" showAll="0"/>
    <pivotField numFmtId="1" showAll="0"/>
    <pivotField numFmtId="164" showAll="0"/>
    <pivotField showAll="0"/>
    <pivotField numFmtId="10" showAll="0"/>
    <pivotField numFmtId="10" showAll="0"/>
    <pivotField axis="axisRow" showAll="0">
      <items count="5">
        <item x="1"/>
        <item x="2"/>
        <item x="0"/>
        <item x="3"/>
        <item t="default"/>
      </items>
    </pivotField>
    <pivotField showAll="0"/>
    <pivotField numFmtId="164" showAll="0"/>
  </pivotFields>
  <rowFields count="1">
    <field x="24"/>
  </rowFields>
  <rowItems count="5">
    <i>
      <x/>
    </i>
    <i>
      <x v="1"/>
    </i>
    <i>
      <x v="2"/>
    </i>
    <i>
      <x v="3"/>
    </i>
    <i t="grand">
      <x/>
    </i>
  </rowItems>
  <colItems count="1">
    <i/>
  </colItems>
  <dataFields count="1">
    <dataField name="Sum of Shipping Cost" fld="14" baseField="0" baseItem="0" numFmtId="164"/>
  </dataFields>
  <formats count="24">
    <format dxfId="63">
      <pivotArea type="all" dataOnly="0" outline="0" fieldPosition="0"/>
    </format>
    <format dxfId="62">
      <pivotArea outline="0" collapsedLevelsAreSubtotals="1" fieldPosition="0"/>
    </format>
    <format dxfId="61">
      <pivotArea field="24" type="button" dataOnly="0" labelOnly="1" outline="0" axis="axisRow" fieldPosition="0"/>
    </format>
    <format dxfId="60">
      <pivotArea dataOnly="0" labelOnly="1" fieldPosition="0">
        <references count="1">
          <reference field="24"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24" type="button" dataOnly="0" labelOnly="1" outline="0" axis="axisRow" fieldPosition="0"/>
    </format>
    <format dxfId="54">
      <pivotArea dataOnly="0" labelOnly="1" fieldPosition="0">
        <references count="1">
          <reference field="24"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4" type="button" dataOnly="0" labelOnly="1" outline="0" axis="axisRow" fieldPosition="0"/>
    </format>
    <format dxfId="48">
      <pivotArea dataOnly="0" labelOnly="1" fieldPosition="0">
        <references count="1">
          <reference field="24"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4" type="button" dataOnly="0" labelOnly="1" outline="0" axis="axisRow" fieldPosition="0"/>
    </format>
    <format dxfId="42">
      <pivotArea dataOnly="0" labelOnly="1" fieldPosition="0">
        <references count="1">
          <reference field="24" count="0"/>
        </references>
      </pivotArea>
    </format>
    <format dxfId="41">
      <pivotArea dataOnly="0" labelOnly="1" grandRow="1" outline="0" fieldPosition="0"/>
    </format>
    <format dxfId="40">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D76482-AAB7-4DEB-BEF9-918D6FF7830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Type" colHeaderCaption="Transportation Modes">
  <location ref="A3:F8" firstHeaderRow="1" firstDataRow="2" firstDataCol="1"/>
  <pivotFields count="27">
    <pivotField axis="axisRow" showAll="0">
      <items count="4">
        <item x="2"/>
        <item x="0"/>
        <item x="1"/>
        <item t="default"/>
      </items>
    </pivotField>
    <pivotField showAll="0"/>
    <pivotField numFmtId="164" showAll="0"/>
    <pivotField numFmtId="1" showAll="0"/>
    <pivotField numFmtId="1" showAll="0"/>
    <pivotField numFmtId="164" showAll="0"/>
    <pivotField showAll="0"/>
    <pivotField numFmtId="1" showAll="0"/>
    <pivotField numFmtId="1" showAll="0"/>
    <pivotField showAll="0"/>
    <pivotField numFmtId="1" showAll="0"/>
    <pivotField showAll="0"/>
    <pivotField numFmtId="1" showAll="0"/>
    <pivotField showAll="0">
      <items count="4">
        <item x="1"/>
        <item x="0"/>
        <item x="2"/>
        <item t="default"/>
      </items>
    </pivotField>
    <pivotField numFmtId="164" showAll="0"/>
    <pivotField showAll="0"/>
    <pivotField showAll="0"/>
    <pivotField numFmtId="1" showAll="0"/>
    <pivotField numFmtId="1" showAll="0"/>
    <pivotField numFmtId="1" showAll="0"/>
    <pivotField numFmtId="164" showAll="0"/>
    <pivotField showAll="0"/>
    <pivotField numFmtId="10" showAll="0"/>
    <pivotField dataField="1" numFmtId="10" showAll="0"/>
    <pivotField axis="axisCol" showAll="0">
      <items count="5">
        <item x="1"/>
        <item x="2"/>
        <item x="0"/>
        <item x="3"/>
        <item t="default"/>
      </items>
    </pivotField>
    <pivotField showAll="0"/>
    <pivotField numFmtId="164" showAll="0"/>
  </pivotFields>
  <rowFields count="1">
    <field x="0"/>
  </rowFields>
  <rowItems count="4">
    <i>
      <x/>
    </i>
    <i>
      <x v="1"/>
    </i>
    <i>
      <x v="2"/>
    </i>
    <i t="grand">
      <x/>
    </i>
  </rowItems>
  <colFields count="1">
    <field x="24"/>
  </colFields>
  <colItems count="5">
    <i>
      <x/>
    </i>
    <i>
      <x v="1"/>
    </i>
    <i>
      <x v="2"/>
    </i>
    <i>
      <x v="3"/>
    </i>
    <i t="grand">
      <x/>
    </i>
  </colItems>
  <dataFields count="1">
    <dataField name="Average Corrected Defect Rates" fld="23" subtotal="average" baseField="0" baseItem="0" numFmtId="10"/>
  </dataFields>
  <formats count="40">
    <format dxfId="39">
      <pivotArea type="all" dataOnly="0" outline="0" fieldPosition="0"/>
    </format>
    <format dxfId="38">
      <pivotArea outline="0" collapsedLevelsAreSubtotals="1" fieldPosition="0"/>
    </format>
    <format dxfId="37">
      <pivotArea type="origin" dataOnly="0" labelOnly="1" outline="0" fieldPosition="0"/>
    </format>
    <format dxfId="36">
      <pivotArea field="24" type="button" dataOnly="0" labelOnly="1" outline="0" axis="axisCol" fieldPosition="0"/>
    </format>
    <format dxfId="35">
      <pivotArea type="topRight" dataOnly="0" labelOnly="1" outline="0"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fieldPosition="0">
        <references count="1">
          <reference field="24" count="0"/>
        </references>
      </pivotArea>
    </format>
    <format dxfId="30">
      <pivotArea dataOnly="0" labelOnly="1" grandCol="1" outline="0" fieldPosition="0"/>
    </format>
    <format dxfId="29">
      <pivotArea type="all" dataOnly="0" outline="0" fieldPosition="0"/>
    </format>
    <format dxfId="28">
      <pivotArea outline="0" collapsedLevelsAreSubtotals="1" fieldPosition="0"/>
    </format>
    <format dxfId="27">
      <pivotArea type="origin" dataOnly="0" labelOnly="1" outline="0" fieldPosition="0"/>
    </format>
    <format dxfId="26">
      <pivotArea field="24" type="button" dataOnly="0" labelOnly="1" outline="0" axis="axisCol" fieldPosition="0"/>
    </format>
    <format dxfId="25">
      <pivotArea type="topRight" dataOnly="0" labelOnly="1" outline="0"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dataOnly="0" labelOnly="1" fieldPosition="0">
        <references count="1">
          <reference field="24" count="0"/>
        </references>
      </pivotArea>
    </format>
    <format dxfId="20">
      <pivotArea dataOnly="0" labelOnly="1" grandCol="1" outline="0" fieldPosition="0"/>
    </format>
    <format dxfId="19">
      <pivotArea type="all" dataOnly="0" outline="0" fieldPosition="0"/>
    </format>
    <format dxfId="18">
      <pivotArea outline="0" collapsedLevelsAreSubtotals="1" fieldPosition="0"/>
    </format>
    <format dxfId="17">
      <pivotArea type="origin" dataOnly="0" labelOnly="1" outline="0" fieldPosition="0"/>
    </format>
    <format dxfId="16">
      <pivotArea field="24" type="button" dataOnly="0" labelOnly="1" outline="0" axis="axisCol" fieldPosition="0"/>
    </format>
    <format dxfId="15">
      <pivotArea type="topRight" dataOnly="0" labelOnly="1" outline="0"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fieldPosition="0">
        <references count="1">
          <reference field="24" count="0"/>
        </references>
      </pivotArea>
    </format>
    <format dxfId="10">
      <pivotArea dataOnly="0" labelOnly="1" grandCol="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24"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24" count="0"/>
        </references>
      </pivotArea>
    </format>
    <format dxfId="0">
      <pivotArea dataOnly="0" labelOnly="1" grandCol="1" outline="0" fieldPosition="0"/>
    </format>
  </formats>
  <chartFormats count="8">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2">
          <reference field="4294967294" count="1" selected="0">
            <x v="0"/>
          </reference>
          <reference field="24" count="1" selected="0">
            <x v="3"/>
          </reference>
        </references>
      </pivotArea>
    </chartFormat>
    <chartFormat chart="3" format="8" series="1">
      <pivotArea type="data" outline="0" fieldPosition="0">
        <references count="2">
          <reference field="4294967294" count="1" selected="0">
            <x v="0"/>
          </reference>
          <reference field="24" count="1" selected="0">
            <x v="0"/>
          </reference>
        </references>
      </pivotArea>
    </chartFormat>
    <chartFormat chart="3" format="9" series="1">
      <pivotArea type="data" outline="0" fieldPosition="0">
        <references count="2">
          <reference field="4294967294" count="1" selected="0">
            <x v="0"/>
          </reference>
          <reference field="24" count="1" selected="0">
            <x v="1"/>
          </reference>
        </references>
      </pivotArea>
    </chartFormat>
    <chartFormat chart="3" format="10" series="1">
      <pivotArea type="data" outline="0" fieldPosition="0">
        <references count="2">
          <reference field="4294967294" count="1" selected="0">
            <x v="0"/>
          </reference>
          <reference field="24" count="1" selected="0">
            <x v="2"/>
          </reference>
        </references>
      </pivotArea>
    </chartFormat>
    <chartFormat chart="3" format="11" series="1">
      <pivotArea type="data" outline="0" fieldPosition="0">
        <references count="2">
          <reference field="4294967294" count="1" selected="0">
            <x v="0"/>
          </reference>
          <reference field="2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42461EED-C0CE-4FF5-9216-94EDC513D89C}" sourceName="Product Type">
  <pivotTables>
    <pivotTable tabId="3" name="PivotTable1"/>
    <pivotTable tabId="13" name="PivotTable9"/>
    <pivotTable tabId="6" name="PivotTable3"/>
    <pivotTable tabId="5" name="PivotTable2"/>
    <pivotTable tabId="9" name="PivotTable6"/>
    <pivotTable tabId="7" name="PivotTable4"/>
    <pivotTable tabId="8" name="PivotTable5"/>
    <pivotTable tabId="12" name="PivotTable8"/>
  </pivotTables>
  <data>
    <tabular pivotCacheId="179006565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6F747740-A387-486E-A6E5-628D9B0918B0}" sourceName="Shipping Carriers">
  <pivotTables>
    <pivotTable tabId="3" name="PivotTable1"/>
    <pivotTable tabId="13" name="PivotTable9"/>
    <pivotTable tabId="6" name="PivotTable3"/>
    <pivotTable tabId="5" name="PivotTable2"/>
    <pivotTable tabId="9" name="PivotTable6"/>
    <pivotTable tabId="7" name="PivotTable4"/>
    <pivotTable tabId="8" name="PivotTable5"/>
    <pivotTable tabId="12" name="PivotTable8"/>
  </pivotTables>
  <data>
    <tabular pivotCacheId="179006565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portation_Modes" xr10:uid="{F9C8247D-234C-48C2-81EB-C00FE02E219A}" sourceName="Transportation Modes">
  <pivotTables>
    <pivotTable tabId="3" name="PivotTable1"/>
    <pivotTable tabId="13" name="PivotTable9"/>
    <pivotTable tabId="6" name="PivotTable3"/>
    <pivotTable tabId="5" name="PivotTable2"/>
    <pivotTable tabId="9" name="PivotTable6"/>
    <pivotTable tabId="7" name="PivotTable4"/>
    <pivotTable tabId="8" name="PivotTable5"/>
    <pivotTable tabId="12" name="PivotTable8"/>
  </pivotTables>
  <data>
    <tabular pivotCacheId="1790065652">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09CCAC0E-C008-48CE-936D-C4A974215F65}" cache="Slicer_Product_Type" caption="Product Type" style="Slicer Style 5" rowHeight="241300"/>
  <slicer name="Shipping Carriers" xr10:uid="{E40440CC-BF43-4F2D-A28E-95D0AE12C6F8}" cache="Slicer_Shipping_Carriers" caption="Shipping Carriers" style="Slicer Style 5" rowHeight="241300"/>
  <slicer name="Transportation Modes" xr10:uid="{CEB0A44F-65F6-47FD-936D-8255AEA347E2}" cache="Slicer_Transportation_Modes" caption="Transportation Modes"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B18214-C49C-44A8-B322-0F117B6CEA39}" name="Supply_Chain_Table" displayName="Supply_Chain_Table" ref="A1:AA101" totalsRowShown="0" headerRowDxfId="220">
  <autoFilter ref="A1:AA101" xr:uid="{C42DEB1B-35D4-4143-B094-C0EE5F433692}"/>
  <tableColumns count="27">
    <tableColumn id="1" xr3:uid="{A16F09B4-1BF9-469D-9E89-608D2CCD4E44}" name="Product Type"/>
    <tableColumn id="2" xr3:uid="{6258F486-C85A-43DD-9DE0-EB7B2E8E15F7}" name="SKU"/>
    <tableColumn id="3" xr3:uid="{D48469C7-CE00-4CBF-B062-C2A79430FC46}" name="Price" dataDxfId="219"/>
    <tableColumn id="4" xr3:uid="{29546D93-550A-4359-B323-B5C449877FEC}" name="Availability" dataDxfId="218"/>
    <tableColumn id="5" xr3:uid="{84676DB4-9BB9-401E-8C58-A8B890CC219E}" name="Number of Products Sold" dataDxfId="217"/>
    <tableColumn id="6" xr3:uid="{E43F3758-728C-4087-9FCC-770564EBB261}" name="Revenue" dataDxfId="216"/>
    <tableColumn id="7" xr3:uid="{CBB7FB41-50A0-4B2B-B122-4985669E0C55}" name="Customer Demographics"/>
    <tableColumn id="8" xr3:uid="{E042C196-5B54-4C96-8226-AF0CB23AE26D}" name="Stock Levels" dataDxfId="215"/>
    <tableColumn id="9" xr3:uid="{BF943B05-4B41-4295-9BAF-892D72674FE2}" name="Lead times" dataDxfId="214"/>
    <tableColumn id="10" xr3:uid="{595102AC-384D-4417-B00A-F8C5ACBDF9E9}" name="Lead Times Category" dataDxfId="213">
      <calculatedColumnFormula>IF(I2&lt;=7, "Fast", IF(I2&lt;=14, "Moderate", "Slow"))</calculatedColumnFormula>
    </tableColumn>
    <tableColumn id="11" xr3:uid="{CF3950D6-9EA4-45A9-92AC-77EE48F39BF2}" name="Order Quantities" dataDxfId="212"/>
    <tableColumn id="12" xr3:uid="{19D1F659-60CE-4A33-B6AC-4E473E4811F1}" name="Order Quantities Category" dataDxfId="211">
      <calculatedColumnFormula>IF(K2&lt;=20, "Small", IF(K2&lt;=60, "Medium", "Large"))</calculatedColumnFormula>
    </tableColumn>
    <tableColumn id="13" xr3:uid="{4E8A85A3-DC7D-49A3-AE5F-43445BB056B1}" name="Shipping Times" dataDxfId="210"/>
    <tableColumn id="14" xr3:uid="{7E090BC7-97A6-4864-9AC7-0AEAB16907FB}" name="Shipping Carriers"/>
    <tableColumn id="15" xr3:uid="{79FAE10B-8417-4094-8E6C-35BD5786EBA8}" name="Shipping Cost" dataDxfId="209"/>
    <tableColumn id="16" xr3:uid="{80E9CCB3-247C-42FE-9A09-7BD7E4DEFB18}" name="Supplier Name"/>
    <tableColumn id="17" xr3:uid="{AFA89568-5D20-4D8F-84C2-E9FC46CD9AF1}" name="Location"/>
    <tableColumn id="18" xr3:uid="{5066B3FE-E2C2-495F-854F-1D969A0DC1F2}" name="Lead Time" dataDxfId="208"/>
    <tableColumn id="19" xr3:uid="{A1F2FC7C-C97D-49CB-86C9-61788C65CC33}" name="Production volumes" dataDxfId="207"/>
    <tableColumn id="20" xr3:uid="{9C037132-E3E2-4470-BC09-B5175526C754}" name="Manufacturing Lead Time" dataDxfId="206"/>
    <tableColumn id="21" xr3:uid="{0DAA2BE5-EA67-4455-A278-8699836C8A35}" name="Manufacturing Costs" dataDxfId="205"/>
    <tableColumn id="22" xr3:uid="{7B0C0BB4-E0BB-4E8C-AC2F-5E1E1EE8B96E}" name="Inspection Results"/>
    <tableColumn id="23" xr3:uid="{33398DAD-0A9D-403B-9A22-143F0A38B31A}" name="Defect Rates" dataDxfId="204"/>
    <tableColumn id="32" xr3:uid="{F320A5DF-2B36-4749-8BCE-153509C47730}" name="Corrected Defect Rates" dataDxfId="203">
      <calculatedColumnFormula>Supply_Chain_Table[[#This Row],[Defect Rates]]/100</calculatedColumnFormula>
    </tableColumn>
    <tableColumn id="24" xr3:uid="{0BA43E1C-D619-4290-A785-ED7BC1B7340B}" name="Transportation Modes"/>
    <tableColumn id="25" xr3:uid="{74A661CD-6F42-4583-82AC-1E627CDA3F3E}" name="Routes"/>
    <tableColumn id="26" xr3:uid="{D2C2BADB-0EB2-456D-9189-AE8C0FB771D4}" name="Costs" dataDxfId="2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D4F1-5AE7-4C68-95F8-D57EAD9E701C}">
  <dimension ref="A1:X101"/>
  <sheetViews>
    <sheetView topLeftCell="M1" workbookViewId="0">
      <selection activeCell="U2" sqref="U2"/>
    </sheetView>
  </sheetViews>
  <sheetFormatPr defaultRowHeight="15" x14ac:dyDescent="0.25"/>
  <cols>
    <col min="1" max="1" width="12.28515625" customWidth="1"/>
    <col min="2" max="2" width="6.42578125" bestFit="1" customWidth="1"/>
    <col min="3" max="3" width="12" bestFit="1" customWidth="1"/>
    <col min="4" max="4" width="11" bestFit="1" customWidth="1"/>
    <col min="5" max="5" width="23.28515625" bestFit="1" customWidth="1"/>
    <col min="6" max="6" width="18.7109375" bestFit="1" customWidth="1"/>
    <col min="7" max="7" width="22.85546875" bestFit="1" customWidth="1"/>
    <col min="8" max="8" width="11.42578125" bestFit="1" customWidth="1"/>
    <col min="9" max="9" width="10.5703125" bestFit="1" customWidth="1"/>
    <col min="10" max="10" width="15.7109375" bestFit="1" customWidth="1"/>
    <col min="11" max="11" width="14.28515625" bestFit="1" customWidth="1"/>
    <col min="12" max="12" width="15.85546875" bestFit="1" customWidth="1"/>
    <col min="13" max="13" width="13.7109375" bestFit="1" customWidth="1"/>
    <col min="14" max="14" width="14" bestFit="1" customWidth="1"/>
    <col min="15" max="15" width="9.85546875" bestFit="1" customWidth="1"/>
    <col min="16" max="16" width="9.7109375" bestFit="1" customWidth="1"/>
    <col min="17" max="17" width="19" bestFit="1" customWidth="1"/>
    <col min="18" max="18" width="23.140625" bestFit="1" customWidth="1"/>
    <col min="19" max="19" width="19" bestFit="1" customWidth="1"/>
    <col min="20" max="20" width="16.85546875" bestFit="1" customWidth="1"/>
    <col min="21" max="21" width="12" bestFit="1" customWidth="1"/>
    <col min="22" max="22" width="20.7109375" bestFit="1" customWidth="1"/>
    <col min="23" max="23" width="8" bestFit="1" customWidth="1"/>
    <col min="24" max="24" width="12"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v>69.808005542115694</v>
      </c>
      <c r="D2">
        <v>55</v>
      </c>
      <c r="E2">
        <v>802</v>
      </c>
      <c r="F2">
        <v>8661.9967923923796</v>
      </c>
      <c r="G2" t="s">
        <v>26</v>
      </c>
      <c r="H2">
        <v>58</v>
      </c>
      <c r="I2">
        <v>7</v>
      </c>
      <c r="J2">
        <v>96</v>
      </c>
      <c r="K2">
        <v>4</v>
      </c>
      <c r="L2" t="s">
        <v>27</v>
      </c>
      <c r="M2">
        <v>2.9565721394308002</v>
      </c>
      <c r="N2" t="s">
        <v>28</v>
      </c>
      <c r="O2" t="s">
        <v>29</v>
      </c>
      <c r="P2">
        <v>29</v>
      </c>
      <c r="Q2">
        <v>215</v>
      </c>
      <c r="R2">
        <v>29</v>
      </c>
      <c r="S2">
        <v>46.279879240508301</v>
      </c>
      <c r="T2" t="s">
        <v>30</v>
      </c>
      <c r="U2">
        <v>0.226410360849925</v>
      </c>
      <c r="V2" t="s">
        <v>31</v>
      </c>
      <c r="W2" t="s">
        <v>32</v>
      </c>
      <c r="X2">
        <v>187.75207545920301</v>
      </c>
    </row>
    <row r="3" spans="1:24" x14ac:dyDescent="0.25">
      <c r="A3" t="s">
        <v>33</v>
      </c>
      <c r="B3" t="s">
        <v>34</v>
      </c>
      <c r="C3">
        <v>14.8435232750843</v>
      </c>
      <c r="D3">
        <v>95</v>
      </c>
      <c r="E3">
        <v>736</v>
      </c>
      <c r="F3">
        <v>7460.9000654458396</v>
      </c>
      <c r="G3" t="s">
        <v>35</v>
      </c>
      <c r="H3">
        <v>53</v>
      </c>
      <c r="I3">
        <v>30</v>
      </c>
      <c r="J3">
        <v>37</v>
      </c>
      <c r="K3">
        <v>2</v>
      </c>
      <c r="L3" t="s">
        <v>36</v>
      </c>
      <c r="M3">
        <v>9.7165747714313095</v>
      </c>
      <c r="N3" t="s">
        <v>28</v>
      </c>
      <c r="O3" t="s">
        <v>29</v>
      </c>
      <c r="P3">
        <v>23</v>
      </c>
      <c r="Q3">
        <v>517</v>
      </c>
      <c r="R3">
        <v>30</v>
      </c>
      <c r="S3">
        <v>33.616768953730002</v>
      </c>
      <c r="T3" t="s">
        <v>30</v>
      </c>
      <c r="U3">
        <v>4.8540680263886999</v>
      </c>
      <c r="V3" t="s">
        <v>31</v>
      </c>
      <c r="W3" t="s">
        <v>32</v>
      </c>
      <c r="X3">
        <v>503.06557914966902</v>
      </c>
    </row>
    <row r="4" spans="1:24" x14ac:dyDescent="0.25">
      <c r="A4" t="s">
        <v>24</v>
      </c>
      <c r="B4" t="s">
        <v>37</v>
      </c>
      <c r="C4">
        <v>11.319683293090501</v>
      </c>
      <c r="D4">
        <v>34</v>
      </c>
      <c r="E4">
        <v>8</v>
      </c>
      <c r="F4">
        <v>9577.7496258687297</v>
      </c>
      <c r="G4" t="s">
        <v>38</v>
      </c>
      <c r="H4">
        <v>1</v>
      </c>
      <c r="I4">
        <v>10</v>
      </c>
      <c r="J4">
        <v>88</v>
      </c>
      <c r="K4">
        <v>2</v>
      </c>
      <c r="L4" t="s">
        <v>27</v>
      </c>
      <c r="M4">
        <v>8.0544792617321495</v>
      </c>
      <c r="N4" t="s">
        <v>39</v>
      </c>
      <c r="O4" t="s">
        <v>29</v>
      </c>
      <c r="P4">
        <v>12</v>
      </c>
      <c r="Q4">
        <v>971</v>
      </c>
      <c r="R4">
        <v>27</v>
      </c>
      <c r="S4">
        <v>30.6880193482842</v>
      </c>
      <c r="T4" t="s">
        <v>30</v>
      </c>
      <c r="U4">
        <v>4.5805926191992201</v>
      </c>
      <c r="V4" t="s">
        <v>40</v>
      </c>
      <c r="W4" t="s">
        <v>41</v>
      </c>
      <c r="X4">
        <v>141.920281771519</v>
      </c>
    </row>
    <row r="5" spans="1:24" x14ac:dyDescent="0.25">
      <c r="A5" t="s">
        <v>33</v>
      </c>
      <c r="B5" t="s">
        <v>42</v>
      </c>
      <c r="C5">
        <v>61.1633430164377</v>
      </c>
      <c r="D5">
        <v>68</v>
      </c>
      <c r="E5">
        <v>83</v>
      </c>
      <c r="F5">
        <v>7766.8364256852301</v>
      </c>
      <c r="G5" t="s">
        <v>26</v>
      </c>
      <c r="H5">
        <v>23</v>
      </c>
      <c r="I5">
        <v>13</v>
      </c>
      <c r="J5">
        <v>59</v>
      </c>
      <c r="K5">
        <v>6</v>
      </c>
      <c r="L5" t="s">
        <v>43</v>
      </c>
      <c r="M5">
        <v>1.7295685635434199</v>
      </c>
      <c r="N5" t="s">
        <v>44</v>
      </c>
      <c r="O5" t="s">
        <v>45</v>
      </c>
      <c r="P5">
        <v>24</v>
      </c>
      <c r="Q5">
        <v>937</v>
      </c>
      <c r="R5">
        <v>18</v>
      </c>
      <c r="S5">
        <v>35.624741397125</v>
      </c>
      <c r="T5" t="s">
        <v>46</v>
      </c>
      <c r="U5">
        <v>4.7466486206477496</v>
      </c>
      <c r="V5" t="s">
        <v>47</v>
      </c>
      <c r="W5" t="s">
        <v>48</v>
      </c>
      <c r="X5">
        <v>254.776159219286</v>
      </c>
    </row>
    <row r="6" spans="1:24" x14ac:dyDescent="0.25">
      <c r="A6" t="s">
        <v>33</v>
      </c>
      <c r="B6" t="s">
        <v>49</v>
      </c>
      <c r="C6">
        <v>4.8054960363458896</v>
      </c>
      <c r="D6">
        <v>26</v>
      </c>
      <c r="E6">
        <v>871</v>
      </c>
      <c r="F6">
        <v>2686.50515156744</v>
      </c>
      <c r="G6" t="s">
        <v>26</v>
      </c>
      <c r="H6">
        <v>5</v>
      </c>
      <c r="I6">
        <v>3</v>
      </c>
      <c r="J6">
        <v>56</v>
      </c>
      <c r="K6">
        <v>8</v>
      </c>
      <c r="L6" t="s">
        <v>36</v>
      </c>
      <c r="M6">
        <v>3.8905479158706702</v>
      </c>
      <c r="N6" t="s">
        <v>39</v>
      </c>
      <c r="O6" t="s">
        <v>50</v>
      </c>
      <c r="P6">
        <v>5</v>
      </c>
      <c r="Q6">
        <v>414</v>
      </c>
      <c r="R6">
        <v>3</v>
      </c>
      <c r="S6">
        <v>92.065160598712794</v>
      </c>
      <c r="T6" t="s">
        <v>46</v>
      </c>
      <c r="U6">
        <v>3.1455795228330001</v>
      </c>
      <c r="V6" t="s">
        <v>40</v>
      </c>
      <c r="W6" t="s">
        <v>48</v>
      </c>
      <c r="X6">
        <v>923.44063171192204</v>
      </c>
    </row>
    <row r="7" spans="1:24" x14ac:dyDescent="0.25">
      <c r="A7" t="s">
        <v>24</v>
      </c>
      <c r="B7" t="s">
        <v>51</v>
      </c>
      <c r="C7">
        <v>1.6999760138659299</v>
      </c>
      <c r="D7">
        <v>87</v>
      </c>
      <c r="E7">
        <v>147</v>
      </c>
      <c r="F7">
        <v>2828.3487459757498</v>
      </c>
      <c r="G7" t="s">
        <v>26</v>
      </c>
      <c r="H7">
        <v>90</v>
      </c>
      <c r="I7">
        <v>27</v>
      </c>
      <c r="J7">
        <v>66</v>
      </c>
      <c r="K7">
        <v>3</v>
      </c>
      <c r="L7" t="s">
        <v>27</v>
      </c>
      <c r="M7">
        <v>4.4440988643822896</v>
      </c>
      <c r="N7" t="s">
        <v>52</v>
      </c>
      <c r="O7" t="s">
        <v>53</v>
      </c>
      <c r="P7">
        <v>10</v>
      </c>
      <c r="Q7">
        <v>104</v>
      </c>
      <c r="R7">
        <v>17</v>
      </c>
      <c r="S7">
        <v>56.766475557431797</v>
      </c>
      <c r="T7" t="s">
        <v>46</v>
      </c>
      <c r="U7">
        <v>2.7791935115711599</v>
      </c>
      <c r="V7" t="s">
        <v>31</v>
      </c>
      <c r="W7" t="s">
        <v>48</v>
      </c>
      <c r="X7">
        <v>235.461236735537</v>
      </c>
    </row>
    <row r="8" spans="1:24" x14ac:dyDescent="0.25">
      <c r="A8" t="s">
        <v>33</v>
      </c>
      <c r="B8" t="s">
        <v>54</v>
      </c>
      <c r="C8">
        <v>4.0783328631079403</v>
      </c>
      <c r="D8">
        <v>48</v>
      </c>
      <c r="E8">
        <v>65</v>
      </c>
      <c r="F8">
        <v>7823.4765595317303</v>
      </c>
      <c r="G8" t="s">
        <v>55</v>
      </c>
      <c r="H8">
        <v>11</v>
      </c>
      <c r="I8">
        <v>15</v>
      </c>
      <c r="J8">
        <v>58</v>
      </c>
      <c r="K8">
        <v>8</v>
      </c>
      <c r="L8" t="s">
        <v>43</v>
      </c>
      <c r="M8">
        <v>3.8807633029519999</v>
      </c>
      <c r="N8" t="s">
        <v>28</v>
      </c>
      <c r="O8" t="s">
        <v>45</v>
      </c>
      <c r="P8">
        <v>14</v>
      </c>
      <c r="Q8">
        <v>314</v>
      </c>
      <c r="R8">
        <v>24</v>
      </c>
      <c r="S8">
        <v>1.0850685695870601</v>
      </c>
      <c r="T8" t="s">
        <v>30</v>
      </c>
      <c r="U8">
        <v>1.0009106193041299</v>
      </c>
      <c r="V8" t="s">
        <v>56</v>
      </c>
      <c r="W8" t="s">
        <v>48</v>
      </c>
      <c r="X8">
        <v>134.36909686103101</v>
      </c>
    </row>
    <row r="9" spans="1:24" x14ac:dyDescent="0.25">
      <c r="A9" t="s">
        <v>57</v>
      </c>
      <c r="B9" t="s">
        <v>58</v>
      </c>
      <c r="C9">
        <v>42.958384382459997</v>
      </c>
      <c r="D9">
        <v>59</v>
      </c>
      <c r="E9">
        <v>426</v>
      </c>
      <c r="F9">
        <v>8496.1038130898305</v>
      </c>
      <c r="G9" t="s">
        <v>35</v>
      </c>
      <c r="H9">
        <v>93</v>
      </c>
      <c r="I9">
        <v>17</v>
      </c>
      <c r="J9">
        <v>11</v>
      </c>
      <c r="K9">
        <v>1</v>
      </c>
      <c r="L9" t="s">
        <v>27</v>
      </c>
      <c r="M9">
        <v>2.3483387844177801</v>
      </c>
      <c r="N9" t="s">
        <v>52</v>
      </c>
      <c r="O9" t="s">
        <v>53</v>
      </c>
      <c r="P9">
        <v>22</v>
      </c>
      <c r="Q9">
        <v>564</v>
      </c>
      <c r="R9">
        <v>1</v>
      </c>
      <c r="S9">
        <v>99.466108603599096</v>
      </c>
      <c r="T9" t="s">
        <v>46</v>
      </c>
      <c r="U9">
        <v>0.39817718685065001</v>
      </c>
      <c r="V9" t="s">
        <v>31</v>
      </c>
      <c r="W9" t="s">
        <v>41</v>
      </c>
      <c r="X9">
        <v>802.05631181755803</v>
      </c>
    </row>
    <row r="10" spans="1:24" x14ac:dyDescent="0.25">
      <c r="A10" t="s">
        <v>57</v>
      </c>
      <c r="B10" t="s">
        <v>59</v>
      </c>
      <c r="C10">
        <v>68.717596748527299</v>
      </c>
      <c r="D10">
        <v>78</v>
      </c>
      <c r="E10">
        <v>150</v>
      </c>
      <c r="F10">
        <v>7517.3632106311197</v>
      </c>
      <c r="G10" t="s">
        <v>35</v>
      </c>
      <c r="H10">
        <v>5</v>
      </c>
      <c r="I10">
        <v>10</v>
      </c>
      <c r="J10">
        <v>15</v>
      </c>
      <c r="K10">
        <v>7</v>
      </c>
      <c r="L10" t="s">
        <v>43</v>
      </c>
      <c r="M10">
        <v>3.4047338570830199</v>
      </c>
      <c r="N10" t="s">
        <v>52</v>
      </c>
      <c r="O10" t="s">
        <v>29</v>
      </c>
      <c r="P10">
        <v>13</v>
      </c>
      <c r="Q10">
        <v>769</v>
      </c>
      <c r="R10">
        <v>8</v>
      </c>
      <c r="S10">
        <v>11.423027139565599</v>
      </c>
      <c r="T10" t="s">
        <v>30</v>
      </c>
      <c r="U10">
        <v>2.7098626911099601</v>
      </c>
      <c r="V10" t="s">
        <v>56</v>
      </c>
      <c r="W10" t="s">
        <v>32</v>
      </c>
      <c r="X10">
        <v>505.55713422546398</v>
      </c>
    </row>
    <row r="11" spans="1:24" x14ac:dyDescent="0.25">
      <c r="A11" t="s">
        <v>33</v>
      </c>
      <c r="B11" t="s">
        <v>60</v>
      </c>
      <c r="C11">
        <v>64.0157329412785</v>
      </c>
      <c r="D11">
        <v>35</v>
      </c>
      <c r="E11">
        <v>980</v>
      </c>
      <c r="F11">
        <v>4971.1459875855498</v>
      </c>
      <c r="G11" t="s">
        <v>38</v>
      </c>
      <c r="H11">
        <v>14</v>
      </c>
      <c r="I11">
        <v>27</v>
      </c>
      <c r="J11">
        <v>83</v>
      </c>
      <c r="K11">
        <v>1</v>
      </c>
      <c r="L11" t="s">
        <v>36</v>
      </c>
      <c r="M11">
        <v>7.1666452910482104</v>
      </c>
      <c r="N11" t="s">
        <v>61</v>
      </c>
      <c r="O11" t="s">
        <v>62</v>
      </c>
      <c r="P11">
        <v>29</v>
      </c>
      <c r="Q11">
        <v>963</v>
      </c>
      <c r="R11">
        <v>23</v>
      </c>
      <c r="S11">
        <v>47.957601634951502</v>
      </c>
      <c r="T11" t="s">
        <v>30</v>
      </c>
      <c r="U11">
        <v>3.8446144787675798</v>
      </c>
      <c r="V11" t="s">
        <v>47</v>
      </c>
      <c r="W11" t="s">
        <v>32</v>
      </c>
      <c r="X11">
        <v>995.92946149864099</v>
      </c>
    </row>
    <row r="12" spans="1:24" x14ac:dyDescent="0.25">
      <c r="A12" t="s">
        <v>33</v>
      </c>
      <c r="B12" t="s">
        <v>63</v>
      </c>
      <c r="C12">
        <v>15.707795681912099</v>
      </c>
      <c r="D12">
        <v>11</v>
      </c>
      <c r="E12">
        <v>996</v>
      </c>
      <c r="F12">
        <v>2330.9658020919401</v>
      </c>
      <c r="G12" t="s">
        <v>26</v>
      </c>
      <c r="H12">
        <v>51</v>
      </c>
      <c r="I12">
        <v>13</v>
      </c>
      <c r="J12">
        <v>80</v>
      </c>
      <c r="K12">
        <v>2</v>
      </c>
      <c r="L12" t="s">
        <v>43</v>
      </c>
      <c r="M12">
        <v>8.6732112112786108</v>
      </c>
      <c r="N12" t="s">
        <v>44</v>
      </c>
      <c r="O12" t="s">
        <v>45</v>
      </c>
      <c r="P12">
        <v>18</v>
      </c>
      <c r="Q12">
        <v>830</v>
      </c>
      <c r="R12">
        <v>5</v>
      </c>
      <c r="S12">
        <v>96.527352785310896</v>
      </c>
      <c r="T12" t="s">
        <v>64</v>
      </c>
      <c r="U12">
        <v>1.72731392835594</v>
      </c>
      <c r="V12" t="s">
        <v>31</v>
      </c>
      <c r="W12" t="s">
        <v>32</v>
      </c>
      <c r="X12">
        <v>806.10317770292295</v>
      </c>
    </row>
    <row r="13" spans="1:24" x14ac:dyDescent="0.25">
      <c r="A13" t="s">
        <v>33</v>
      </c>
      <c r="B13" t="s">
        <v>65</v>
      </c>
      <c r="C13">
        <v>90.635459982288594</v>
      </c>
      <c r="D13">
        <v>95</v>
      </c>
      <c r="E13">
        <v>960</v>
      </c>
      <c r="F13">
        <v>6099.9441155814502</v>
      </c>
      <c r="G13" t="s">
        <v>35</v>
      </c>
      <c r="H13">
        <v>46</v>
      </c>
      <c r="I13">
        <v>23</v>
      </c>
      <c r="J13">
        <v>60</v>
      </c>
      <c r="K13">
        <v>1</v>
      </c>
      <c r="L13" t="s">
        <v>36</v>
      </c>
      <c r="M13">
        <v>4.5239431243166601</v>
      </c>
      <c r="N13" t="s">
        <v>61</v>
      </c>
      <c r="O13" t="s">
        <v>45</v>
      </c>
      <c r="P13">
        <v>28</v>
      </c>
      <c r="Q13">
        <v>362</v>
      </c>
      <c r="R13">
        <v>11</v>
      </c>
      <c r="S13">
        <v>27.5923630866636</v>
      </c>
      <c r="T13" t="s">
        <v>30</v>
      </c>
      <c r="U13">
        <v>2.1169821372994301E-2</v>
      </c>
      <c r="V13" t="s">
        <v>40</v>
      </c>
      <c r="W13" t="s">
        <v>48</v>
      </c>
      <c r="X13">
        <v>126.72303340940699</v>
      </c>
    </row>
    <row r="14" spans="1:24" x14ac:dyDescent="0.25">
      <c r="A14" t="s">
        <v>24</v>
      </c>
      <c r="B14" t="s">
        <v>66</v>
      </c>
      <c r="C14">
        <v>71.213389075359999</v>
      </c>
      <c r="D14">
        <v>41</v>
      </c>
      <c r="E14">
        <v>336</v>
      </c>
      <c r="F14">
        <v>2873.74144602144</v>
      </c>
      <c r="G14" t="s">
        <v>38</v>
      </c>
      <c r="H14">
        <v>100</v>
      </c>
      <c r="I14">
        <v>30</v>
      </c>
      <c r="J14">
        <v>85</v>
      </c>
      <c r="K14">
        <v>4</v>
      </c>
      <c r="L14" t="s">
        <v>36</v>
      </c>
      <c r="M14">
        <v>1.32527401018452</v>
      </c>
      <c r="N14" t="s">
        <v>52</v>
      </c>
      <c r="O14" t="s">
        <v>45</v>
      </c>
      <c r="P14">
        <v>3</v>
      </c>
      <c r="Q14">
        <v>563</v>
      </c>
      <c r="R14">
        <v>3</v>
      </c>
      <c r="S14">
        <v>32.321286213424003</v>
      </c>
      <c r="T14" t="s">
        <v>46</v>
      </c>
      <c r="U14">
        <v>2.1612537475559099</v>
      </c>
      <c r="V14" t="s">
        <v>31</v>
      </c>
      <c r="W14" t="s">
        <v>32</v>
      </c>
      <c r="X14">
        <v>402.96878907376998</v>
      </c>
    </row>
    <row r="15" spans="1:24" x14ac:dyDescent="0.25">
      <c r="A15" t="s">
        <v>33</v>
      </c>
      <c r="B15" t="s">
        <v>67</v>
      </c>
      <c r="C15">
        <v>16.160393317379899</v>
      </c>
      <c r="D15">
        <v>5</v>
      </c>
      <c r="E15">
        <v>249</v>
      </c>
      <c r="F15">
        <v>4052.7384162378598</v>
      </c>
      <c r="G15" t="s">
        <v>55</v>
      </c>
      <c r="H15">
        <v>80</v>
      </c>
      <c r="I15">
        <v>8</v>
      </c>
      <c r="J15">
        <v>48</v>
      </c>
      <c r="K15">
        <v>9</v>
      </c>
      <c r="L15" t="s">
        <v>36</v>
      </c>
      <c r="M15">
        <v>9.5372830611083295</v>
      </c>
      <c r="N15" t="s">
        <v>44</v>
      </c>
      <c r="O15" t="s">
        <v>53</v>
      </c>
      <c r="P15">
        <v>23</v>
      </c>
      <c r="Q15">
        <v>173</v>
      </c>
      <c r="R15">
        <v>10</v>
      </c>
      <c r="S15">
        <v>97.829050110173199</v>
      </c>
      <c r="T15" t="s">
        <v>30</v>
      </c>
      <c r="U15">
        <v>1.63107423007153</v>
      </c>
      <c r="V15" t="s">
        <v>31</v>
      </c>
      <c r="W15" t="s">
        <v>32</v>
      </c>
      <c r="X15">
        <v>547.24100516096803</v>
      </c>
    </row>
    <row r="16" spans="1:24" x14ac:dyDescent="0.25">
      <c r="A16" t="s">
        <v>33</v>
      </c>
      <c r="B16" t="s">
        <v>68</v>
      </c>
      <c r="C16">
        <v>99.171328638624104</v>
      </c>
      <c r="D16">
        <v>26</v>
      </c>
      <c r="E16">
        <v>562</v>
      </c>
      <c r="F16">
        <v>8653.5709264697998</v>
      </c>
      <c r="G16" t="s">
        <v>26</v>
      </c>
      <c r="H16">
        <v>54</v>
      </c>
      <c r="I16">
        <v>29</v>
      </c>
      <c r="J16">
        <v>78</v>
      </c>
      <c r="K16">
        <v>5</v>
      </c>
      <c r="L16" t="s">
        <v>27</v>
      </c>
      <c r="M16">
        <v>2.0397701894493299</v>
      </c>
      <c r="N16" t="s">
        <v>39</v>
      </c>
      <c r="O16" t="s">
        <v>45</v>
      </c>
      <c r="P16">
        <v>25</v>
      </c>
      <c r="Q16">
        <v>558</v>
      </c>
      <c r="R16">
        <v>14</v>
      </c>
      <c r="S16">
        <v>5.7914366298629796</v>
      </c>
      <c r="T16" t="s">
        <v>30</v>
      </c>
      <c r="U16">
        <v>0.100682851565093</v>
      </c>
      <c r="V16" t="s">
        <v>40</v>
      </c>
      <c r="W16" t="s">
        <v>32</v>
      </c>
      <c r="X16">
        <v>929.23528996088896</v>
      </c>
    </row>
    <row r="17" spans="1:24" x14ac:dyDescent="0.25">
      <c r="A17" t="s">
        <v>33</v>
      </c>
      <c r="B17" t="s">
        <v>69</v>
      </c>
      <c r="C17">
        <v>36.989244928626903</v>
      </c>
      <c r="D17">
        <v>94</v>
      </c>
      <c r="E17">
        <v>469</v>
      </c>
      <c r="F17">
        <v>5442.0867853976697</v>
      </c>
      <c r="G17" t="s">
        <v>26</v>
      </c>
      <c r="H17">
        <v>9</v>
      </c>
      <c r="I17">
        <v>8</v>
      </c>
      <c r="J17">
        <v>69</v>
      </c>
      <c r="K17">
        <v>7</v>
      </c>
      <c r="L17" t="s">
        <v>27</v>
      </c>
      <c r="M17">
        <v>2.4220397232752</v>
      </c>
      <c r="N17" t="s">
        <v>39</v>
      </c>
      <c r="O17" t="s">
        <v>53</v>
      </c>
      <c r="P17">
        <v>14</v>
      </c>
      <c r="Q17">
        <v>580</v>
      </c>
      <c r="R17">
        <v>7</v>
      </c>
      <c r="S17">
        <v>97.121281751474299</v>
      </c>
      <c r="T17" t="s">
        <v>64</v>
      </c>
      <c r="U17">
        <v>2.2644057611985402</v>
      </c>
      <c r="V17" t="s">
        <v>56</v>
      </c>
      <c r="W17" t="s">
        <v>32</v>
      </c>
      <c r="X17">
        <v>127.861800001625</v>
      </c>
    </row>
    <row r="18" spans="1:24" x14ac:dyDescent="0.25">
      <c r="A18" t="s">
        <v>33</v>
      </c>
      <c r="B18" t="s">
        <v>70</v>
      </c>
      <c r="C18">
        <v>7.5471721097912701</v>
      </c>
      <c r="D18">
        <v>74</v>
      </c>
      <c r="E18">
        <v>280</v>
      </c>
      <c r="F18">
        <v>6453.7979681762799</v>
      </c>
      <c r="G18" t="s">
        <v>35</v>
      </c>
      <c r="H18">
        <v>2</v>
      </c>
      <c r="I18">
        <v>5</v>
      </c>
      <c r="J18">
        <v>78</v>
      </c>
      <c r="K18">
        <v>1</v>
      </c>
      <c r="L18" t="s">
        <v>27</v>
      </c>
      <c r="M18">
        <v>4.1913245857054999</v>
      </c>
      <c r="N18" t="s">
        <v>39</v>
      </c>
      <c r="O18" t="s">
        <v>53</v>
      </c>
      <c r="P18">
        <v>3</v>
      </c>
      <c r="Q18">
        <v>399</v>
      </c>
      <c r="R18">
        <v>21</v>
      </c>
      <c r="S18">
        <v>77.106342497849994</v>
      </c>
      <c r="T18" t="s">
        <v>64</v>
      </c>
      <c r="U18">
        <v>1.01256308925804</v>
      </c>
      <c r="V18" t="s">
        <v>40</v>
      </c>
      <c r="W18" t="s">
        <v>48</v>
      </c>
      <c r="X18">
        <v>865.52577977123997</v>
      </c>
    </row>
    <row r="19" spans="1:24" x14ac:dyDescent="0.25">
      <c r="A19" t="s">
        <v>57</v>
      </c>
      <c r="B19" t="s">
        <v>71</v>
      </c>
      <c r="C19">
        <v>81.462534369237005</v>
      </c>
      <c r="D19">
        <v>82</v>
      </c>
      <c r="E19">
        <v>126</v>
      </c>
      <c r="F19">
        <v>2629.39643484526</v>
      </c>
      <c r="G19" t="s">
        <v>35</v>
      </c>
      <c r="H19">
        <v>45</v>
      </c>
      <c r="I19">
        <v>17</v>
      </c>
      <c r="J19">
        <v>85</v>
      </c>
      <c r="K19">
        <v>9</v>
      </c>
      <c r="L19" t="s">
        <v>43</v>
      </c>
      <c r="M19">
        <v>3.5854189582323399</v>
      </c>
      <c r="N19" t="s">
        <v>39</v>
      </c>
      <c r="O19" t="s">
        <v>62</v>
      </c>
      <c r="P19">
        <v>7</v>
      </c>
      <c r="Q19">
        <v>453</v>
      </c>
      <c r="R19">
        <v>16</v>
      </c>
      <c r="S19">
        <v>47.679680368355299</v>
      </c>
      <c r="T19" t="s">
        <v>46</v>
      </c>
      <c r="U19">
        <v>0.102020754918176</v>
      </c>
      <c r="V19" t="s">
        <v>40</v>
      </c>
      <c r="W19" t="s">
        <v>41</v>
      </c>
      <c r="X19">
        <v>670.93439079241</v>
      </c>
    </row>
    <row r="20" spans="1:24" x14ac:dyDescent="0.25">
      <c r="A20" t="s">
        <v>24</v>
      </c>
      <c r="B20" t="s">
        <v>72</v>
      </c>
      <c r="C20">
        <v>36.4436277704609</v>
      </c>
      <c r="D20">
        <v>23</v>
      </c>
      <c r="E20">
        <v>620</v>
      </c>
      <c r="F20">
        <v>9364.6735050761708</v>
      </c>
      <c r="G20" t="s">
        <v>38</v>
      </c>
      <c r="H20">
        <v>10</v>
      </c>
      <c r="I20">
        <v>10</v>
      </c>
      <c r="J20">
        <v>46</v>
      </c>
      <c r="K20">
        <v>8</v>
      </c>
      <c r="L20" t="s">
        <v>43</v>
      </c>
      <c r="M20">
        <v>4.3392247141107001</v>
      </c>
      <c r="N20" t="s">
        <v>61</v>
      </c>
      <c r="O20" t="s">
        <v>45</v>
      </c>
      <c r="P20">
        <v>18</v>
      </c>
      <c r="Q20">
        <v>374</v>
      </c>
      <c r="R20">
        <v>17</v>
      </c>
      <c r="S20">
        <v>27.107980854843898</v>
      </c>
      <c r="T20" t="s">
        <v>30</v>
      </c>
      <c r="U20">
        <v>2.2319391107292601</v>
      </c>
      <c r="V20" t="s">
        <v>56</v>
      </c>
      <c r="W20" t="s">
        <v>48</v>
      </c>
      <c r="X20">
        <v>593.48025872065102</v>
      </c>
    </row>
    <row r="21" spans="1:24" x14ac:dyDescent="0.25">
      <c r="A21" t="s">
        <v>33</v>
      </c>
      <c r="B21" t="s">
        <v>73</v>
      </c>
      <c r="C21">
        <v>51.123870087964697</v>
      </c>
      <c r="D21">
        <v>100</v>
      </c>
      <c r="E21">
        <v>187</v>
      </c>
      <c r="F21">
        <v>2553.4955849912099</v>
      </c>
      <c r="G21" t="s">
        <v>38</v>
      </c>
      <c r="H21">
        <v>48</v>
      </c>
      <c r="I21">
        <v>11</v>
      </c>
      <c r="J21">
        <v>94</v>
      </c>
      <c r="K21">
        <v>3</v>
      </c>
      <c r="L21" t="s">
        <v>36</v>
      </c>
      <c r="M21">
        <v>4.7426358828418698</v>
      </c>
      <c r="N21" t="s">
        <v>52</v>
      </c>
      <c r="O21" t="s">
        <v>62</v>
      </c>
      <c r="P21">
        <v>20</v>
      </c>
      <c r="Q21">
        <v>694</v>
      </c>
      <c r="R21">
        <v>16</v>
      </c>
      <c r="S21">
        <v>82.373320587990193</v>
      </c>
      <c r="T21" t="s">
        <v>46</v>
      </c>
      <c r="U21">
        <v>3.64645086541702</v>
      </c>
      <c r="V21" t="s">
        <v>31</v>
      </c>
      <c r="W21" t="s">
        <v>41</v>
      </c>
      <c r="X21">
        <v>477.30763109090299</v>
      </c>
    </row>
    <row r="22" spans="1:24" x14ac:dyDescent="0.25">
      <c r="A22" t="s">
        <v>33</v>
      </c>
      <c r="B22" t="s">
        <v>74</v>
      </c>
      <c r="C22">
        <v>96.341072439963298</v>
      </c>
      <c r="D22">
        <v>22</v>
      </c>
      <c r="E22">
        <v>320</v>
      </c>
      <c r="F22">
        <v>8128.0276968511898</v>
      </c>
      <c r="G22" t="s">
        <v>38</v>
      </c>
      <c r="H22">
        <v>27</v>
      </c>
      <c r="I22">
        <v>12</v>
      </c>
      <c r="J22">
        <v>68</v>
      </c>
      <c r="K22">
        <v>6</v>
      </c>
      <c r="L22" t="s">
        <v>36</v>
      </c>
      <c r="M22">
        <v>8.8783346509268402</v>
      </c>
      <c r="N22" t="s">
        <v>39</v>
      </c>
      <c r="O22" t="s">
        <v>62</v>
      </c>
      <c r="P22">
        <v>29</v>
      </c>
      <c r="Q22">
        <v>309</v>
      </c>
      <c r="R22">
        <v>6</v>
      </c>
      <c r="S22">
        <v>65.686259608488598</v>
      </c>
      <c r="T22" t="s">
        <v>64</v>
      </c>
      <c r="U22">
        <v>4.2314165735345304</v>
      </c>
      <c r="V22" t="s">
        <v>40</v>
      </c>
      <c r="W22" t="s">
        <v>32</v>
      </c>
      <c r="X22">
        <v>493.871215316205</v>
      </c>
    </row>
    <row r="23" spans="1:24" x14ac:dyDescent="0.25">
      <c r="A23" t="s">
        <v>57</v>
      </c>
      <c r="B23" t="s">
        <v>75</v>
      </c>
      <c r="C23">
        <v>84.893868984950799</v>
      </c>
      <c r="D23">
        <v>60</v>
      </c>
      <c r="E23">
        <v>601</v>
      </c>
      <c r="F23">
        <v>7087.0526963574302</v>
      </c>
      <c r="G23" t="s">
        <v>38</v>
      </c>
      <c r="H23">
        <v>69</v>
      </c>
      <c r="I23">
        <v>25</v>
      </c>
      <c r="J23">
        <v>7</v>
      </c>
      <c r="K23">
        <v>6</v>
      </c>
      <c r="L23" t="s">
        <v>27</v>
      </c>
      <c r="M23">
        <v>6.0378837692182898</v>
      </c>
      <c r="N23" t="s">
        <v>44</v>
      </c>
      <c r="O23" t="s">
        <v>62</v>
      </c>
      <c r="P23">
        <v>19</v>
      </c>
      <c r="Q23">
        <v>791</v>
      </c>
      <c r="R23">
        <v>4</v>
      </c>
      <c r="S23">
        <v>61.735728954160898</v>
      </c>
      <c r="T23" t="s">
        <v>30</v>
      </c>
      <c r="U23">
        <v>1.8607567631014899E-2</v>
      </c>
      <c r="V23" t="s">
        <v>40</v>
      </c>
      <c r="W23" t="s">
        <v>41</v>
      </c>
      <c r="X23">
        <v>523.36091472015801</v>
      </c>
    </row>
    <row r="24" spans="1:24" x14ac:dyDescent="0.25">
      <c r="A24" t="s">
        <v>24</v>
      </c>
      <c r="B24" t="s">
        <v>76</v>
      </c>
      <c r="C24">
        <v>27.679780886501899</v>
      </c>
      <c r="D24">
        <v>55</v>
      </c>
      <c r="E24">
        <v>884</v>
      </c>
      <c r="F24">
        <v>2390.8078665561702</v>
      </c>
      <c r="G24" t="s">
        <v>38</v>
      </c>
      <c r="H24">
        <v>71</v>
      </c>
      <c r="I24">
        <v>1</v>
      </c>
      <c r="J24">
        <v>63</v>
      </c>
      <c r="K24">
        <v>10</v>
      </c>
      <c r="L24" t="s">
        <v>36</v>
      </c>
      <c r="M24">
        <v>9.5676489209230393</v>
      </c>
      <c r="N24" t="s">
        <v>52</v>
      </c>
      <c r="O24" t="s">
        <v>45</v>
      </c>
      <c r="P24">
        <v>22</v>
      </c>
      <c r="Q24">
        <v>780</v>
      </c>
      <c r="R24">
        <v>28</v>
      </c>
      <c r="S24">
        <v>50.120839612977299</v>
      </c>
      <c r="T24" t="s">
        <v>46</v>
      </c>
      <c r="U24">
        <v>2.5912754732111098</v>
      </c>
      <c r="V24" t="s">
        <v>47</v>
      </c>
      <c r="W24" t="s">
        <v>41</v>
      </c>
      <c r="X24">
        <v>205.57199582694699</v>
      </c>
    </row>
    <row r="25" spans="1:24" x14ac:dyDescent="0.25">
      <c r="A25" t="s">
        <v>57</v>
      </c>
      <c r="B25" t="s">
        <v>77</v>
      </c>
      <c r="C25">
        <v>4.3243411858641601</v>
      </c>
      <c r="D25">
        <v>30</v>
      </c>
      <c r="E25">
        <v>391</v>
      </c>
      <c r="F25">
        <v>8858.3675710114803</v>
      </c>
      <c r="G25" t="s">
        <v>38</v>
      </c>
      <c r="H25">
        <v>84</v>
      </c>
      <c r="I25">
        <v>5</v>
      </c>
      <c r="J25">
        <v>29</v>
      </c>
      <c r="K25">
        <v>7</v>
      </c>
      <c r="L25" t="s">
        <v>36</v>
      </c>
      <c r="M25">
        <v>2.92485760114555</v>
      </c>
      <c r="N25" t="s">
        <v>44</v>
      </c>
      <c r="O25" t="s">
        <v>45</v>
      </c>
      <c r="P25">
        <v>11</v>
      </c>
      <c r="Q25">
        <v>568</v>
      </c>
      <c r="R25">
        <v>29</v>
      </c>
      <c r="S25">
        <v>98.6099572427038</v>
      </c>
      <c r="T25" t="s">
        <v>30</v>
      </c>
      <c r="U25">
        <v>1.3422915627227301</v>
      </c>
      <c r="V25" t="s">
        <v>47</v>
      </c>
      <c r="W25" t="s">
        <v>48</v>
      </c>
      <c r="X25">
        <v>196.329446112412</v>
      </c>
    </row>
    <row r="26" spans="1:24" x14ac:dyDescent="0.25">
      <c r="A26" t="s">
        <v>24</v>
      </c>
      <c r="B26" t="s">
        <v>78</v>
      </c>
      <c r="C26">
        <v>4.1563083593111001</v>
      </c>
      <c r="D26">
        <v>32</v>
      </c>
      <c r="E26">
        <v>209</v>
      </c>
      <c r="F26">
        <v>9049.0778609398894</v>
      </c>
      <c r="G26" t="s">
        <v>55</v>
      </c>
      <c r="H26">
        <v>4</v>
      </c>
      <c r="I26">
        <v>26</v>
      </c>
      <c r="J26">
        <v>2</v>
      </c>
      <c r="K26">
        <v>8</v>
      </c>
      <c r="L26" t="s">
        <v>43</v>
      </c>
      <c r="M26">
        <v>9.7412916892843597</v>
      </c>
      <c r="N26" t="s">
        <v>61</v>
      </c>
      <c r="O26" t="s">
        <v>53</v>
      </c>
      <c r="P26">
        <v>28</v>
      </c>
      <c r="Q26">
        <v>447</v>
      </c>
      <c r="R26">
        <v>3</v>
      </c>
      <c r="S26">
        <v>40.382359702924802</v>
      </c>
      <c r="T26" t="s">
        <v>30</v>
      </c>
      <c r="U26">
        <v>3.69131029262872</v>
      </c>
      <c r="V26" t="s">
        <v>40</v>
      </c>
      <c r="W26" t="s">
        <v>48</v>
      </c>
      <c r="X26">
        <v>758.72477260293795</v>
      </c>
    </row>
    <row r="27" spans="1:24" x14ac:dyDescent="0.25">
      <c r="A27" t="s">
        <v>24</v>
      </c>
      <c r="B27" t="s">
        <v>79</v>
      </c>
      <c r="C27">
        <v>39.629343985092603</v>
      </c>
      <c r="D27">
        <v>73</v>
      </c>
      <c r="E27">
        <v>142</v>
      </c>
      <c r="F27">
        <v>2174.7770543506499</v>
      </c>
      <c r="G27" t="s">
        <v>55</v>
      </c>
      <c r="H27">
        <v>82</v>
      </c>
      <c r="I27">
        <v>11</v>
      </c>
      <c r="J27">
        <v>52</v>
      </c>
      <c r="K27">
        <v>3</v>
      </c>
      <c r="L27" t="s">
        <v>43</v>
      </c>
      <c r="M27">
        <v>2.2310736812817198</v>
      </c>
      <c r="N27" t="s">
        <v>52</v>
      </c>
      <c r="O27" t="s">
        <v>45</v>
      </c>
      <c r="P27">
        <v>19</v>
      </c>
      <c r="Q27">
        <v>934</v>
      </c>
      <c r="R27">
        <v>23</v>
      </c>
      <c r="S27">
        <v>78.280383118415301</v>
      </c>
      <c r="T27" t="s">
        <v>30</v>
      </c>
      <c r="U27">
        <v>3.79723121711418</v>
      </c>
      <c r="V27" t="s">
        <v>31</v>
      </c>
      <c r="W27" t="s">
        <v>32</v>
      </c>
      <c r="X27">
        <v>458.53594573920901</v>
      </c>
    </row>
    <row r="28" spans="1:24" x14ac:dyDescent="0.25">
      <c r="A28" t="s">
        <v>24</v>
      </c>
      <c r="B28" t="s">
        <v>80</v>
      </c>
      <c r="C28">
        <v>97.446946617892806</v>
      </c>
      <c r="D28">
        <v>9</v>
      </c>
      <c r="E28">
        <v>353</v>
      </c>
      <c r="F28">
        <v>3716.49332589403</v>
      </c>
      <c r="G28" t="s">
        <v>55</v>
      </c>
      <c r="H28">
        <v>59</v>
      </c>
      <c r="I28">
        <v>16</v>
      </c>
      <c r="J28">
        <v>48</v>
      </c>
      <c r="K28">
        <v>4</v>
      </c>
      <c r="L28" t="s">
        <v>27</v>
      </c>
      <c r="M28">
        <v>6.5075486210785503</v>
      </c>
      <c r="N28" t="s">
        <v>61</v>
      </c>
      <c r="O28" t="s">
        <v>53</v>
      </c>
      <c r="P28">
        <v>26</v>
      </c>
      <c r="Q28">
        <v>171</v>
      </c>
      <c r="R28">
        <v>4</v>
      </c>
      <c r="S28">
        <v>15.972229757181699</v>
      </c>
      <c r="T28" t="s">
        <v>64</v>
      </c>
      <c r="U28">
        <v>2.1193197367249201</v>
      </c>
      <c r="V28" t="s">
        <v>47</v>
      </c>
      <c r="W28" t="s">
        <v>48</v>
      </c>
      <c r="X28">
        <v>617.86691645837698</v>
      </c>
    </row>
    <row r="29" spans="1:24" x14ac:dyDescent="0.25">
      <c r="A29" t="s">
        <v>57</v>
      </c>
      <c r="B29" t="s">
        <v>81</v>
      </c>
      <c r="C29">
        <v>92.557360812401996</v>
      </c>
      <c r="D29">
        <v>42</v>
      </c>
      <c r="E29">
        <v>352</v>
      </c>
      <c r="F29">
        <v>2686.4572235759802</v>
      </c>
      <c r="G29" t="s">
        <v>38</v>
      </c>
      <c r="H29">
        <v>47</v>
      </c>
      <c r="I29">
        <v>9</v>
      </c>
      <c r="J29">
        <v>62</v>
      </c>
      <c r="K29">
        <v>8</v>
      </c>
      <c r="L29" t="s">
        <v>43</v>
      </c>
      <c r="M29">
        <v>7.4067509529980704</v>
      </c>
      <c r="N29" t="s">
        <v>44</v>
      </c>
      <c r="O29" t="s">
        <v>29</v>
      </c>
      <c r="P29">
        <v>25</v>
      </c>
      <c r="Q29">
        <v>291</v>
      </c>
      <c r="R29">
        <v>4</v>
      </c>
      <c r="S29">
        <v>10.5282450700421</v>
      </c>
      <c r="T29" t="s">
        <v>46</v>
      </c>
      <c r="U29">
        <v>2.8646678378833701</v>
      </c>
      <c r="V29" t="s">
        <v>56</v>
      </c>
      <c r="W29" t="s">
        <v>32</v>
      </c>
      <c r="X29">
        <v>762.45918215568304</v>
      </c>
    </row>
    <row r="30" spans="1:24" x14ac:dyDescent="0.25">
      <c r="A30" t="s">
        <v>57</v>
      </c>
      <c r="B30" t="s">
        <v>82</v>
      </c>
      <c r="C30">
        <v>2.3972747055971402</v>
      </c>
      <c r="D30">
        <v>12</v>
      </c>
      <c r="E30">
        <v>394</v>
      </c>
      <c r="F30">
        <v>6117.3246150839896</v>
      </c>
      <c r="G30" t="s">
        <v>35</v>
      </c>
      <c r="H30">
        <v>48</v>
      </c>
      <c r="I30">
        <v>15</v>
      </c>
      <c r="J30">
        <v>24</v>
      </c>
      <c r="K30">
        <v>4</v>
      </c>
      <c r="L30" t="s">
        <v>27</v>
      </c>
      <c r="M30">
        <v>9.8981405080692202</v>
      </c>
      <c r="N30" t="s">
        <v>39</v>
      </c>
      <c r="O30" t="s">
        <v>29</v>
      </c>
      <c r="P30">
        <v>13</v>
      </c>
      <c r="Q30">
        <v>171</v>
      </c>
      <c r="R30">
        <v>7</v>
      </c>
      <c r="S30">
        <v>59.429381810691503</v>
      </c>
      <c r="T30" t="s">
        <v>46</v>
      </c>
      <c r="U30">
        <v>0.81575707929567198</v>
      </c>
      <c r="V30" t="s">
        <v>40</v>
      </c>
      <c r="W30" t="s">
        <v>48</v>
      </c>
      <c r="X30">
        <v>123.437027511827</v>
      </c>
    </row>
    <row r="31" spans="1:24" x14ac:dyDescent="0.25">
      <c r="A31" t="s">
        <v>57</v>
      </c>
      <c r="B31" t="s">
        <v>83</v>
      </c>
      <c r="C31">
        <v>63.447559185207297</v>
      </c>
      <c r="D31">
        <v>3</v>
      </c>
      <c r="E31">
        <v>253</v>
      </c>
      <c r="F31">
        <v>8318.9031946171708</v>
      </c>
      <c r="G31" t="s">
        <v>35</v>
      </c>
      <c r="H31">
        <v>45</v>
      </c>
      <c r="I31">
        <v>5</v>
      </c>
      <c r="J31">
        <v>67</v>
      </c>
      <c r="K31">
        <v>7</v>
      </c>
      <c r="L31" t="s">
        <v>27</v>
      </c>
      <c r="M31">
        <v>8.1009731453970293</v>
      </c>
      <c r="N31" t="s">
        <v>39</v>
      </c>
      <c r="O31" t="s">
        <v>45</v>
      </c>
      <c r="P31">
        <v>16</v>
      </c>
      <c r="Q31">
        <v>329</v>
      </c>
      <c r="R31">
        <v>7</v>
      </c>
      <c r="S31">
        <v>39.292875586065698</v>
      </c>
      <c r="T31" t="s">
        <v>64</v>
      </c>
      <c r="U31">
        <v>3.8780989365884802</v>
      </c>
      <c r="V31" t="s">
        <v>31</v>
      </c>
      <c r="W31" t="s">
        <v>32</v>
      </c>
      <c r="X31">
        <v>764.93537594070801</v>
      </c>
    </row>
    <row r="32" spans="1:24" x14ac:dyDescent="0.25">
      <c r="A32" t="s">
        <v>24</v>
      </c>
      <c r="B32" t="s">
        <v>84</v>
      </c>
      <c r="C32">
        <v>8.0228592105263896</v>
      </c>
      <c r="D32">
        <v>10</v>
      </c>
      <c r="E32">
        <v>327</v>
      </c>
      <c r="F32">
        <v>2766.3423668660798</v>
      </c>
      <c r="G32" t="s">
        <v>55</v>
      </c>
      <c r="H32">
        <v>60</v>
      </c>
      <c r="I32">
        <v>26</v>
      </c>
      <c r="J32">
        <v>35</v>
      </c>
      <c r="K32">
        <v>7</v>
      </c>
      <c r="L32" t="s">
        <v>27</v>
      </c>
      <c r="M32">
        <v>8.9545283153180097</v>
      </c>
      <c r="N32" t="s">
        <v>52</v>
      </c>
      <c r="O32" t="s">
        <v>45</v>
      </c>
      <c r="P32">
        <v>27</v>
      </c>
      <c r="Q32">
        <v>806</v>
      </c>
      <c r="R32">
        <v>30</v>
      </c>
      <c r="S32">
        <v>51.634893400109299</v>
      </c>
      <c r="T32" t="s">
        <v>30</v>
      </c>
      <c r="U32">
        <v>0.96539470535239302</v>
      </c>
      <c r="V32" t="s">
        <v>31</v>
      </c>
      <c r="W32" t="s">
        <v>41</v>
      </c>
      <c r="X32">
        <v>880.08098824716103</v>
      </c>
    </row>
    <row r="33" spans="1:24" x14ac:dyDescent="0.25">
      <c r="A33" t="s">
        <v>33</v>
      </c>
      <c r="B33" t="s">
        <v>85</v>
      </c>
      <c r="C33">
        <v>50.847393051718697</v>
      </c>
      <c r="D33">
        <v>28</v>
      </c>
      <c r="E33">
        <v>168</v>
      </c>
      <c r="F33">
        <v>9655.1351027193905</v>
      </c>
      <c r="G33" t="s">
        <v>55</v>
      </c>
      <c r="H33">
        <v>6</v>
      </c>
      <c r="I33">
        <v>17</v>
      </c>
      <c r="J33">
        <v>44</v>
      </c>
      <c r="K33">
        <v>4</v>
      </c>
      <c r="L33" t="s">
        <v>27</v>
      </c>
      <c r="M33">
        <v>2.6796609649813998</v>
      </c>
      <c r="N33" t="s">
        <v>28</v>
      </c>
      <c r="O33" t="s">
        <v>62</v>
      </c>
      <c r="P33">
        <v>24</v>
      </c>
      <c r="Q33">
        <v>461</v>
      </c>
      <c r="R33">
        <v>8</v>
      </c>
      <c r="S33">
        <v>60.251145661598002</v>
      </c>
      <c r="T33" t="s">
        <v>30</v>
      </c>
      <c r="U33">
        <v>2.9890000066550702</v>
      </c>
      <c r="V33" t="s">
        <v>47</v>
      </c>
      <c r="W33" t="s">
        <v>41</v>
      </c>
      <c r="X33">
        <v>609.379206618426</v>
      </c>
    </row>
    <row r="34" spans="1:24" x14ac:dyDescent="0.25">
      <c r="A34" t="s">
        <v>33</v>
      </c>
      <c r="B34" t="s">
        <v>86</v>
      </c>
      <c r="C34">
        <v>79.209936015656695</v>
      </c>
      <c r="D34">
        <v>43</v>
      </c>
      <c r="E34">
        <v>781</v>
      </c>
      <c r="F34">
        <v>9571.5504873278096</v>
      </c>
      <c r="G34" t="s">
        <v>38</v>
      </c>
      <c r="H34">
        <v>89</v>
      </c>
      <c r="I34">
        <v>13</v>
      </c>
      <c r="J34">
        <v>64</v>
      </c>
      <c r="K34">
        <v>4</v>
      </c>
      <c r="L34" t="s">
        <v>43</v>
      </c>
      <c r="M34">
        <v>6.5991049012385803</v>
      </c>
      <c r="N34" t="s">
        <v>28</v>
      </c>
      <c r="O34" t="s">
        <v>45</v>
      </c>
      <c r="P34">
        <v>30</v>
      </c>
      <c r="Q34">
        <v>737</v>
      </c>
      <c r="R34">
        <v>7</v>
      </c>
      <c r="S34">
        <v>29.6924671537497</v>
      </c>
      <c r="T34" t="s">
        <v>64</v>
      </c>
      <c r="U34">
        <v>1.94603611938611</v>
      </c>
      <c r="V34" t="s">
        <v>31</v>
      </c>
      <c r="W34" t="s">
        <v>48</v>
      </c>
      <c r="X34">
        <v>761.17390951487698</v>
      </c>
    </row>
    <row r="35" spans="1:24" x14ac:dyDescent="0.25">
      <c r="A35" t="s">
        <v>57</v>
      </c>
      <c r="B35" t="s">
        <v>87</v>
      </c>
      <c r="C35">
        <v>64.795435000155607</v>
      </c>
      <c r="D35">
        <v>63</v>
      </c>
      <c r="E35">
        <v>616</v>
      </c>
      <c r="F35">
        <v>5149.9983504080301</v>
      </c>
      <c r="G35" t="s">
        <v>26</v>
      </c>
      <c r="H35">
        <v>4</v>
      </c>
      <c r="I35">
        <v>17</v>
      </c>
      <c r="J35">
        <v>95</v>
      </c>
      <c r="K35">
        <v>9</v>
      </c>
      <c r="L35" t="s">
        <v>43</v>
      </c>
      <c r="M35">
        <v>4.85827050343664</v>
      </c>
      <c r="N35" t="s">
        <v>44</v>
      </c>
      <c r="O35" t="s">
        <v>62</v>
      </c>
      <c r="P35">
        <v>1</v>
      </c>
      <c r="Q35">
        <v>251</v>
      </c>
      <c r="R35">
        <v>23</v>
      </c>
      <c r="S35">
        <v>23.853427512896101</v>
      </c>
      <c r="T35" t="s">
        <v>46</v>
      </c>
      <c r="U35">
        <v>3.54104601225092</v>
      </c>
      <c r="V35" t="s">
        <v>56</v>
      </c>
      <c r="W35" t="s">
        <v>48</v>
      </c>
      <c r="X35">
        <v>371.25529551987103</v>
      </c>
    </row>
    <row r="36" spans="1:24" x14ac:dyDescent="0.25">
      <c r="A36" t="s">
        <v>33</v>
      </c>
      <c r="B36" t="s">
        <v>88</v>
      </c>
      <c r="C36">
        <v>37.467592329842397</v>
      </c>
      <c r="D36">
        <v>96</v>
      </c>
      <c r="E36">
        <v>602</v>
      </c>
      <c r="F36">
        <v>9061.7108955077201</v>
      </c>
      <c r="G36" t="s">
        <v>38</v>
      </c>
      <c r="H36">
        <v>1</v>
      </c>
      <c r="I36">
        <v>26</v>
      </c>
      <c r="J36">
        <v>21</v>
      </c>
      <c r="K36">
        <v>7</v>
      </c>
      <c r="L36" t="s">
        <v>36</v>
      </c>
      <c r="M36">
        <v>1.0194875708221101</v>
      </c>
      <c r="N36" t="s">
        <v>39</v>
      </c>
      <c r="O36" t="s">
        <v>62</v>
      </c>
      <c r="P36">
        <v>4</v>
      </c>
      <c r="Q36">
        <v>452</v>
      </c>
      <c r="R36">
        <v>10</v>
      </c>
      <c r="S36">
        <v>10.754272815029299</v>
      </c>
      <c r="T36" t="s">
        <v>64</v>
      </c>
      <c r="U36">
        <v>0.64660455937205397</v>
      </c>
      <c r="V36" t="s">
        <v>31</v>
      </c>
      <c r="W36" t="s">
        <v>32</v>
      </c>
      <c r="X36">
        <v>510.35800043352299</v>
      </c>
    </row>
    <row r="37" spans="1:24" x14ac:dyDescent="0.25">
      <c r="A37" t="s">
        <v>57</v>
      </c>
      <c r="B37" t="s">
        <v>89</v>
      </c>
      <c r="C37">
        <v>84.957786816350406</v>
      </c>
      <c r="D37">
        <v>11</v>
      </c>
      <c r="E37">
        <v>449</v>
      </c>
      <c r="F37">
        <v>6541.3293448024597</v>
      </c>
      <c r="G37" t="s">
        <v>35</v>
      </c>
      <c r="H37">
        <v>42</v>
      </c>
      <c r="I37">
        <v>27</v>
      </c>
      <c r="J37">
        <v>85</v>
      </c>
      <c r="K37">
        <v>8</v>
      </c>
      <c r="L37" t="s">
        <v>43</v>
      </c>
      <c r="M37">
        <v>5.2881899903273997</v>
      </c>
      <c r="N37" t="s">
        <v>39</v>
      </c>
      <c r="O37" t="s">
        <v>50</v>
      </c>
      <c r="P37">
        <v>3</v>
      </c>
      <c r="Q37">
        <v>367</v>
      </c>
      <c r="R37">
        <v>2</v>
      </c>
      <c r="S37">
        <v>58.004787044743701</v>
      </c>
      <c r="T37" t="s">
        <v>64</v>
      </c>
      <c r="U37">
        <v>0.54115409806058101</v>
      </c>
      <c r="V37" t="s">
        <v>56</v>
      </c>
      <c r="W37" t="s">
        <v>41</v>
      </c>
      <c r="X37">
        <v>553.42047123035502</v>
      </c>
    </row>
    <row r="38" spans="1:24" x14ac:dyDescent="0.25">
      <c r="A38" t="s">
        <v>33</v>
      </c>
      <c r="B38" t="s">
        <v>90</v>
      </c>
      <c r="C38">
        <v>9.81300257875405</v>
      </c>
      <c r="D38">
        <v>34</v>
      </c>
      <c r="E38">
        <v>963</v>
      </c>
      <c r="F38">
        <v>7573.4024578487297</v>
      </c>
      <c r="G38" t="s">
        <v>35</v>
      </c>
      <c r="H38">
        <v>18</v>
      </c>
      <c r="I38">
        <v>23</v>
      </c>
      <c r="J38">
        <v>28</v>
      </c>
      <c r="K38">
        <v>3</v>
      </c>
      <c r="L38" t="s">
        <v>27</v>
      </c>
      <c r="M38">
        <v>2.1079512671590801</v>
      </c>
      <c r="N38" t="s">
        <v>61</v>
      </c>
      <c r="O38" t="s">
        <v>50</v>
      </c>
      <c r="P38">
        <v>26</v>
      </c>
      <c r="Q38">
        <v>671</v>
      </c>
      <c r="R38">
        <v>19</v>
      </c>
      <c r="S38">
        <v>45.531364237162101</v>
      </c>
      <c r="T38" t="s">
        <v>46</v>
      </c>
      <c r="U38">
        <v>3.8055333792433501</v>
      </c>
      <c r="V38" t="s">
        <v>40</v>
      </c>
      <c r="W38" t="s">
        <v>41</v>
      </c>
      <c r="X38">
        <v>403.80897424817999</v>
      </c>
    </row>
    <row r="39" spans="1:24" x14ac:dyDescent="0.25">
      <c r="A39" t="s">
        <v>33</v>
      </c>
      <c r="B39" t="s">
        <v>91</v>
      </c>
      <c r="C39">
        <v>23.3998447526143</v>
      </c>
      <c r="D39">
        <v>5</v>
      </c>
      <c r="E39">
        <v>963</v>
      </c>
      <c r="F39">
        <v>2438.3399304700201</v>
      </c>
      <c r="G39" t="s">
        <v>35</v>
      </c>
      <c r="H39">
        <v>25</v>
      </c>
      <c r="I39">
        <v>8</v>
      </c>
      <c r="J39">
        <v>21</v>
      </c>
      <c r="K39">
        <v>9</v>
      </c>
      <c r="L39" t="s">
        <v>36</v>
      </c>
      <c r="M39">
        <v>1.53265527359043</v>
      </c>
      <c r="N39" t="s">
        <v>28</v>
      </c>
      <c r="O39" t="s">
        <v>45</v>
      </c>
      <c r="P39">
        <v>24</v>
      </c>
      <c r="Q39">
        <v>867</v>
      </c>
      <c r="R39">
        <v>15</v>
      </c>
      <c r="S39">
        <v>34.343277465075303</v>
      </c>
      <c r="T39" t="s">
        <v>30</v>
      </c>
      <c r="U39">
        <v>2.61028808484811</v>
      </c>
      <c r="V39" t="s">
        <v>56</v>
      </c>
      <c r="W39" t="s">
        <v>48</v>
      </c>
      <c r="X39">
        <v>183.932968043594</v>
      </c>
    </row>
    <row r="40" spans="1:24" x14ac:dyDescent="0.25">
      <c r="A40" t="s">
        <v>57</v>
      </c>
      <c r="B40" t="s">
        <v>92</v>
      </c>
      <c r="C40">
        <v>52.075930682707799</v>
      </c>
      <c r="D40">
        <v>75</v>
      </c>
      <c r="E40">
        <v>705</v>
      </c>
      <c r="F40">
        <v>9692.3180402184298</v>
      </c>
      <c r="G40" t="s">
        <v>26</v>
      </c>
      <c r="H40">
        <v>69</v>
      </c>
      <c r="I40">
        <v>1</v>
      </c>
      <c r="J40">
        <v>88</v>
      </c>
      <c r="K40">
        <v>5</v>
      </c>
      <c r="L40" t="s">
        <v>27</v>
      </c>
      <c r="M40">
        <v>9.2359314372492207</v>
      </c>
      <c r="N40" t="s">
        <v>44</v>
      </c>
      <c r="O40" t="s">
        <v>29</v>
      </c>
      <c r="P40">
        <v>10</v>
      </c>
      <c r="Q40">
        <v>841</v>
      </c>
      <c r="R40">
        <v>12</v>
      </c>
      <c r="S40">
        <v>5.9306936455283097</v>
      </c>
      <c r="T40" t="s">
        <v>30</v>
      </c>
      <c r="U40">
        <v>0.613326899164507</v>
      </c>
      <c r="V40" t="s">
        <v>40</v>
      </c>
      <c r="W40" t="s">
        <v>32</v>
      </c>
      <c r="X40">
        <v>339.67286994860598</v>
      </c>
    </row>
    <row r="41" spans="1:24" x14ac:dyDescent="0.25">
      <c r="A41" t="s">
        <v>33</v>
      </c>
      <c r="B41" t="s">
        <v>93</v>
      </c>
      <c r="C41">
        <v>19.127477265823199</v>
      </c>
      <c r="D41">
        <v>26</v>
      </c>
      <c r="E41">
        <v>176</v>
      </c>
      <c r="F41">
        <v>1912.4656631007599</v>
      </c>
      <c r="G41" t="s">
        <v>35</v>
      </c>
      <c r="H41">
        <v>78</v>
      </c>
      <c r="I41">
        <v>29</v>
      </c>
      <c r="J41">
        <v>34</v>
      </c>
      <c r="K41">
        <v>3</v>
      </c>
      <c r="L41" t="s">
        <v>36</v>
      </c>
      <c r="M41">
        <v>5.5625037788303802</v>
      </c>
      <c r="N41" t="s">
        <v>61</v>
      </c>
      <c r="O41" t="s">
        <v>45</v>
      </c>
      <c r="P41">
        <v>30</v>
      </c>
      <c r="Q41">
        <v>791</v>
      </c>
      <c r="R41">
        <v>6</v>
      </c>
      <c r="S41">
        <v>9.0058074287816403</v>
      </c>
      <c r="T41" t="s">
        <v>46</v>
      </c>
      <c r="U41">
        <v>1.4519722039968099</v>
      </c>
      <c r="V41" t="s">
        <v>40</v>
      </c>
      <c r="W41" t="s">
        <v>32</v>
      </c>
      <c r="X41">
        <v>653.67299455203295</v>
      </c>
    </row>
    <row r="42" spans="1:24" x14ac:dyDescent="0.25">
      <c r="A42" t="s">
        <v>33</v>
      </c>
      <c r="B42" t="s">
        <v>94</v>
      </c>
      <c r="C42">
        <v>80.541424170940303</v>
      </c>
      <c r="D42">
        <v>97</v>
      </c>
      <c r="E42">
        <v>933</v>
      </c>
      <c r="F42">
        <v>5724.9593504562599</v>
      </c>
      <c r="G42" t="s">
        <v>35</v>
      </c>
      <c r="H42">
        <v>90</v>
      </c>
      <c r="I42">
        <v>20</v>
      </c>
      <c r="J42">
        <v>39</v>
      </c>
      <c r="K42">
        <v>8</v>
      </c>
      <c r="L42" t="s">
        <v>43</v>
      </c>
      <c r="M42">
        <v>7.2295951397364702</v>
      </c>
      <c r="N42" t="s">
        <v>39</v>
      </c>
      <c r="O42" t="s">
        <v>45</v>
      </c>
      <c r="P42">
        <v>18</v>
      </c>
      <c r="Q42">
        <v>793</v>
      </c>
      <c r="R42">
        <v>1</v>
      </c>
      <c r="S42">
        <v>88.179407104217404</v>
      </c>
      <c r="T42" t="s">
        <v>30</v>
      </c>
      <c r="U42">
        <v>4.2132694305865597</v>
      </c>
      <c r="V42" t="s">
        <v>31</v>
      </c>
      <c r="W42" t="s">
        <v>48</v>
      </c>
      <c r="X42">
        <v>529.80872398069096</v>
      </c>
    </row>
    <row r="43" spans="1:24" x14ac:dyDescent="0.25">
      <c r="A43" t="s">
        <v>33</v>
      </c>
      <c r="B43" t="s">
        <v>95</v>
      </c>
      <c r="C43">
        <v>99.113291615317095</v>
      </c>
      <c r="D43">
        <v>35</v>
      </c>
      <c r="E43">
        <v>556</v>
      </c>
      <c r="F43">
        <v>5521.2052590109697</v>
      </c>
      <c r="G43" t="s">
        <v>35</v>
      </c>
      <c r="H43">
        <v>64</v>
      </c>
      <c r="I43">
        <v>19</v>
      </c>
      <c r="J43">
        <v>38</v>
      </c>
      <c r="K43">
        <v>8</v>
      </c>
      <c r="L43" t="s">
        <v>27</v>
      </c>
      <c r="M43">
        <v>5.7732637437666501</v>
      </c>
      <c r="N43" t="s">
        <v>52</v>
      </c>
      <c r="O43" t="s">
        <v>62</v>
      </c>
      <c r="P43">
        <v>18</v>
      </c>
      <c r="Q43">
        <v>892</v>
      </c>
      <c r="R43">
        <v>7</v>
      </c>
      <c r="S43">
        <v>95.332064548772493</v>
      </c>
      <c r="T43" t="s">
        <v>46</v>
      </c>
      <c r="U43">
        <v>4.5302262398259602E-2</v>
      </c>
      <c r="V43" t="s">
        <v>56</v>
      </c>
      <c r="W43" t="s">
        <v>48</v>
      </c>
      <c r="X43">
        <v>275.52437113130901</v>
      </c>
    </row>
    <row r="44" spans="1:24" x14ac:dyDescent="0.25">
      <c r="A44" t="s">
        <v>33</v>
      </c>
      <c r="B44" t="s">
        <v>96</v>
      </c>
      <c r="C44">
        <v>46.529167614516702</v>
      </c>
      <c r="D44">
        <v>98</v>
      </c>
      <c r="E44">
        <v>155</v>
      </c>
      <c r="F44">
        <v>1839.60942585676</v>
      </c>
      <c r="G44" t="s">
        <v>35</v>
      </c>
      <c r="H44">
        <v>22</v>
      </c>
      <c r="I44">
        <v>27</v>
      </c>
      <c r="J44">
        <v>57</v>
      </c>
      <c r="K44">
        <v>4</v>
      </c>
      <c r="L44" t="s">
        <v>43</v>
      </c>
      <c r="M44">
        <v>7.5262483268515004</v>
      </c>
      <c r="N44" t="s">
        <v>44</v>
      </c>
      <c r="O44" t="s">
        <v>53</v>
      </c>
      <c r="P44">
        <v>26</v>
      </c>
      <c r="Q44">
        <v>179</v>
      </c>
      <c r="R44">
        <v>7</v>
      </c>
      <c r="S44">
        <v>96.422820639571796</v>
      </c>
      <c r="T44" t="s">
        <v>46</v>
      </c>
      <c r="U44">
        <v>4.9392552886209398</v>
      </c>
      <c r="V44" t="s">
        <v>31</v>
      </c>
      <c r="W44" t="s">
        <v>48</v>
      </c>
      <c r="X44">
        <v>635.65712050199102</v>
      </c>
    </row>
    <row r="45" spans="1:24" x14ac:dyDescent="0.25">
      <c r="A45" t="s">
        <v>24</v>
      </c>
      <c r="B45" t="s">
        <v>97</v>
      </c>
      <c r="C45">
        <v>11.7432717763092</v>
      </c>
      <c r="D45">
        <v>6</v>
      </c>
      <c r="E45">
        <v>598</v>
      </c>
      <c r="F45">
        <v>5737.4255991190203</v>
      </c>
      <c r="G45" t="s">
        <v>38</v>
      </c>
      <c r="H45">
        <v>36</v>
      </c>
      <c r="I45">
        <v>29</v>
      </c>
      <c r="J45">
        <v>85</v>
      </c>
      <c r="K45">
        <v>9</v>
      </c>
      <c r="L45" t="s">
        <v>27</v>
      </c>
      <c r="M45">
        <v>3.6940212683884499</v>
      </c>
      <c r="N45" t="s">
        <v>44</v>
      </c>
      <c r="O45" t="s">
        <v>29</v>
      </c>
      <c r="P45">
        <v>1</v>
      </c>
      <c r="Q45">
        <v>206</v>
      </c>
      <c r="R45">
        <v>23</v>
      </c>
      <c r="S45">
        <v>26.2773659573324</v>
      </c>
      <c r="T45" t="s">
        <v>30</v>
      </c>
      <c r="U45">
        <v>0.37230476798509698</v>
      </c>
      <c r="V45" t="s">
        <v>40</v>
      </c>
      <c r="W45" t="s">
        <v>48</v>
      </c>
      <c r="X45">
        <v>716.04411975933999</v>
      </c>
    </row>
    <row r="46" spans="1:24" x14ac:dyDescent="0.25">
      <c r="A46" t="s">
        <v>57</v>
      </c>
      <c r="B46" t="s">
        <v>98</v>
      </c>
      <c r="C46">
        <v>51.355790913110297</v>
      </c>
      <c r="D46">
        <v>34</v>
      </c>
      <c r="E46">
        <v>919</v>
      </c>
      <c r="F46">
        <v>7152.28604943551</v>
      </c>
      <c r="G46" t="s">
        <v>35</v>
      </c>
      <c r="H46">
        <v>13</v>
      </c>
      <c r="I46">
        <v>19</v>
      </c>
      <c r="J46">
        <v>72</v>
      </c>
      <c r="K46">
        <v>6</v>
      </c>
      <c r="L46" t="s">
        <v>43</v>
      </c>
      <c r="M46">
        <v>7.5774496573766896</v>
      </c>
      <c r="N46" t="s">
        <v>61</v>
      </c>
      <c r="O46" t="s">
        <v>50</v>
      </c>
      <c r="P46">
        <v>7</v>
      </c>
      <c r="Q46">
        <v>834</v>
      </c>
      <c r="R46">
        <v>18</v>
      </c>
      <c r="S46">
        <v>22.554106620887701</v>
      </c>
      <c r="T46" t="s">
        <v>46</v>
      </c>
      <c r="U46">
        <v>2.9626263204548802</v>
      </c>
      <c r="V46" t="s">
        <v>47</v>
      </c>
      <c r="W46" t="s">
        <v>48</v>
      </c>
      <c r="X46">
        <v>610.45326961922694</v>
      </c>
    </row>
    <row r="47" spans="1:24" x14ac:dyDescent="0.25">
      <c r="A47" t="s">
        <v>24</v>
      </c>
      <c r="B47" t="s">
        <v>99</v>
      </c>
      <c r="C47">
        <v>33.784138033065503</v>
      </c>
      <c r="D47">
        <v>1</v>
      </c>
      <c r="E47">
        <v>24</v>
      </c>
      <c r="F47">
        <v>5267.9568075105199</v>
      </c>
      <c r="G47" t="s">
        <v>55</v>
      </c>
      <c r="H47">
        <v>93</v>
      </c>
      <c r="I47">
        <v>7</v>
      </c>
      <c r="J47">
        <v>52</v>
      </c>
      <c r="K47">
        <v>6</v>
      </c>
      <c r="L47" t="s">
        <v>27</v>
      </c>
      <c r="M47">
        <v>5.2151550087119096</v>
      </c>
      <c r="N47" t="s">
        <v>61</v>
      </c>
      <c r="O47" t="s">
        <v>62</v>
      </c>
      <c r="P47">
        <v>25</v>
      </c>
      <c r="Q47">
        <v>794</v>
      </c>
      <c r="R47">
        <v>25</v>
      </c>
      <c r="S47">
        <v>66.312544439991598</v>
      </c>
      <c r="T47" t="s">
        <v>64</v>
      </c>
      <c r="U47">
        <v>3.2196046120841002</v>
      </c>
      <c r="V47" t="s">
        <v>47</v>
      </c>
      <c r="W47" t="s">
        <v>48</v>
      </c>
      <c r="X47">
        <v>495.30569702847299</v>
      </c>
    </row>
    <row r="48" spans="1:24" x14ac:dyDescent="0.25">
      <c r="A48" t="s">
        <v>24</v>
      </c>
      <c r="B48" t="s">
        <v>100</v>
      </c>
      <c r="C48">
        <v>27.082207199888899</v>
      </c>
      <c r="D48">
        <v>75</v>
      </c>
      <c r="E48">
        <v>859</v>
      </c>
      <c r="F48">
        <v>2556.7673606335902</v>
      </c>
      <c r="G48" t="s">
        <v>26</v>
      </c>
      <c r="H48">
        <v>92</v>
      </c>
      <c r="I48">
        <v>29</v>
      </c>
      <c r="J48">
        <v>6</v>
      </c>
      <c r="K48">
        <v>8</v>
      </c>
      <c r="L48" t="s">
        <v>27</v>
      </c>
      <c r="M48">
        <v>4.0709558370840799</v>
      </c>
      <c r="N48" t="s">
        <v>28</v>
      </c>
      <c r="O48" t="s">
        <v>62</v>
      </c>
      <c r="P48">
        <v>18</v>
      </c>
      <c r="Q48">
        <v>870</v>
      </c>
      <c r="R48">
        <v>23</v>
      </c>
      <c r="S48">
        <v>77.322353211051606</v>
      </c>
      <c r="T48" t="s">
        <v>30</v>
      </c>
      <c r="U48">
        <v>3.6486105925361998</v>
      </c>
      <c r="V48" t="s">
        <v>31</v>
      </c>
      <c r="W48" t="s">
        <v>32</v>
      </c>
      <c r="X48">
        <v>380.43593711196399</v>
      </c>
    </row>
    <row r="49" spans="1:24" x14ac:dyDescent="0.25">
      <c r="A49" t="s">
        <v>33</v>
      </c>
      <c r="B49" t="s">
        <v>101</v>
      </c>
      <c r="C49">
        <v>95.712135880936003</v>
      </c>
      <c r="D49">
        <v>93</v>
      </c>
      <c r="E49">
        <v>910</v>
      </c>
      <c r="F49">
        <v>7089.4742499341801</v>
      </c>
      <c r="G49" t="s">
        <v>55</v>
      </c>
      <c r="H49">
        <v>4</v>
      </c>
      <c r="I49">
        <v>15</v>
      </c>
      <c r="J49">
        <v>51</v>
      </c>
      <c r="K49">
        <v>9</v>
      </c>
      <c r="L49" t="s">
        <v>27</v>
      </c>
      <c r="M49">
        <v>8.9787507559499709</v>
      </c>
      <c r="N49" t="s">
        <v>39</v>
      </c>
      <c r="O49" t="s">
        <v>45</v>
      </c>
      <c r="P49">
        <v>10</v>
      </c>
      <c r="Q49">
        <v>964</v>
      </c>
      <c r="R49">
        <v>20</v>
      </c>
      <c r="S49">
        <v>19.7129929112936</v>
      </c>
      <c r="T49" t="s">
        <v>30</v>
      </c>
      <c r="U49">
        <v>0.38057358671321301</v>
      </c>
      <c r="V49" t="s">
        <v>47</v>
      </c>
      <c r="W49" t="s">
        <v>48</v>
      </c>
      <c r="X49">
        <v>581.60235505058597</v>
      </c>
    </row>
    <row r="50" spans="1:24" x14ac:dyDescent="0.25">
      <c r="A50" t="s">
        <v>24</v>
      </c>
      <c r="B50" t="s">
        <v>102</v>
      </c>
      <c r="C50">
        <v>76.035544426891704</v>
      </c>
      <c r="D50">
        <v>28</v>
      </c>
      <c r="E50">
        <v>29</v>
      </c>
      <c r="F50">
        <v>7397.0710045871801</v>
      </c>
      <c r="G50" t="s">
        <v>26</v>
      </c>
      <c r="H50">
        <v>30</v>
      </c>
      <c r="I50">
        <v>16</v>
      </c>
      <c r="J50">
        <v>9</v>
      </c>
      <c r="K50">
        <v>3</v>
      </c>
      <c r="L50" t="s">
        <v>43</v>
      </c>
      <c r="M50">
        <v>7.0958331565551296</v>
      </c>
      <c r="N50" t="s">
        <v>61</v>
      </c>
      <c r="O50" t="s">
        <v>29</v>
      </c>
      <c r="P50">
        <v>9</v>
      </c>
      <c r="Q50">
        <v>109</v>
      </c>
      <c r="R50">
        <v>18</v>
      </c>
      <c r="S50">
        <v>23.126363582464698</v>
      </c>
      <c r="T50" t="s">
        <v>46</v>
      </c>
      <c r="U50">
        <v>1.6981125407144</v>
      </c>
      <c r="V50" t="s">
        <v>47</v>
      </c>
      <c r="W50" t="s">
        <v>32</v>
      </c>
      <c r="X50">
        <v>768.65191395437</v>
      </c>
    </row>
    <row r="51" spans="1:24" x14ac:dyDescent="0.25">
      <c r="A51" t="s">
        <v>57</v>
      </c>
      <c r="B51" t="s">
        <v>103</v>
      </c>
      <c r="C51">
        <v>78.897913205639995</v>
      </c>
      <c r="D51">
        <v>19</v>
      </c>
      <c r="E51">
        <v>99</v>
      </c>
      <c r="F51">
        <v>8001.6132065190004</v>
      </c>
      <c r="G51" t="s">
        <v>38</v>
      </c>
      <c r="H51">
        <v>97</v>
      </c>
      <c r="I51">
        <v>24</v>
      </c>
      <c r="J51">
        <v>9</v>
      </c>
      <c r="K51">
        <v>6</v>
      </c>
      <c r="L51" t="s">
        <v>43</v>
      </c>
      <c r="M51">
        <v>2.5056210329009101</v>
      </c>
      <c r="N51" t="s">
        <v>44</v>
      </c>
      <c r="O51" t="s">
        <v>50</v>
      </c>
      <c r="P51">
        <v>28</v>
      </c>
      <c r="Q51">
        <v>177</v>
      </c>
      <c r="R51">
        <v>28</v>
      </c>
      <c r="S51">
        <v>14.1478154439792</v>
      </c>
      <c r="T51" t="s">
        <v>64</v>
      </c>
      <c r="U51">
        <v>2.8258139854001301</v>
      </c>
      <c r="V51" t="s">
        <v>47</v>
      </c>
      <c r="W51" t="s">
        <v>48</v>
      </c>
      <c r="X51">
        <v>336.89016851997701</v>
      </c>
    </row>
    <row r="52" spans="1:24" x14ac:dyDescent="0.25">
      <c r="A52" t="s">
        <v>57</v>
      </c>
      <c r="B52" t="s">
        <v>104</v>
      </c>
      <c r="C52">
        <v>14.203484264803</v>
      </c>
      <c r="D52">
        <v>91</v>
      </c>
      <c r="E52">
        <v>633</v>
      </c>
      <c r="F52">
        <v>5910.8853896688897</v>
      </c>
      <c r="G52" t="s">
        <v>35</v>
      </c>
      <c r="H52">
        <v>31</v>
      </c>
      <c r="I52">
        <v>23</v>
      </c>
      <c r="J52">
        <v>82</v>
      </c>
      <c r="K52">
        <v>10</v>
      </c>
      <c r="L52" t="s">
        <v>36</v>
      </c>
      <c r="M52">
        <v>6.2478609149759903</v>
      </c>
      <c r="N52" t="s">
        <v>61</v>
      </c>
      <c r="O52" t="s">
        <v>50</v>
      </c>
      <c r="P52">
        <v>20</v>
      </c>
      <c r="Q52">
        <v>306</v>
      </c>
      <c r="R52">
        <v>21</v>
      </c>
      <c r="S52">
        <v>45.178757924634503</v>
      </c>
      <c r="T52" t="s">
        <v>46</v>
      </c>
      <c r="U52">
        <v>4.7548008046711798</v>
      </c>
      <c r="V52" t="s">
        <v>47</v>
      </c>
      <c r="W52" t="s">
        <v>32</v>
      </c>
      <c r="X52">
        <v>496.24865029194001</v>
      </c>
    </row>
    <row r="53" spans="1:24" x14ac:dyDescent="0.25">
      <c r="A53" t="s">
        <v>24</v>
      </c>
      <c r="B53" t="s">
        <v>105</v>
      </c>
      <c r="C53">
        <v>26.700760972461701</v>
      </c>
      <c r="D53">
        <v>61</v>
      </c>
      <c r="E53">
        <v>154</v>
      </c>
      <c r="F53">
        <v>9866.4654579796897</v>
      </c>
      <c r="G53" t="s">
        <v>55</v>
      </c>
      <c r="H53">
        <v>100</v>
      </c>
      <c r="I53">
        <v>4</v>
      </c>
      <c r="J53">
        <v>52</v>
      </c>
      <c r="K53">
        <v>1</v>
      </c>
      <c r="L53" t="s">
        <v>36</v>
      </c>
      <c r="M53">
        <v>4.78300055794766</v>
      </c>
      <c r="N53" t="s">
        <v>44</v>
      </c>
      <c r="O53" t="s">
        <v>53</v>
      </c>
      <c r="P53">
        <v>18</v>
      </c>
      <c r="Q53">
        <v>673</v>
      </c>
      <c r="R53">
        <v>28</v>
      </c>
      <c r="S53">
        <v>14.190328344569901</v>
      </c>
      <c r="T53" t="s">
        <v>30</v>
      </c>
      <c r="U53">
        <v>1.77295117208355</v>
      </c>
      <c r="V53" t="s">
        <v>31</v>
      </c>
      <c r="W53" t="s">
        <v>48</v>
      </c>
      <c r="X53">
        <v>694.98231757944495</v>
      </c>
    </row>
    <row r="54" spans="1:24" x14ac:dyDescent="0.25">
      <c r="A54" t="s">
        <v>33</v>
      </c>
      <c r="B54" t="s">
        <v>106</v>
      </c>
      <c r="C54">
        <v>98.031829656465007</v>
      </c>
      <c r="D54">
        <v>1</v>
      </c>
      <c r="E54">
        <v>820</v>
      </c>
      <c r="F54">
        <v>9435.7626089121295</v>
      </c>
      <c r="G54" t="s">
        <v>55</v>
      </c>
      <c r="H54">
        <v>64</v>
      </c>
      <c r="I54">
        <v>11</v>
      </c>
      <c r="J54">
        <v>11</v>
      </c>
      <c r="K54">
        <v>1</v>
      </c>
      <c r="L54" t="s">
        <v>27</v>
      </c>
      <c r="M54">
        <v>8.6310521797689397</v>
      </c>
      <c r="N54" t="s">
        <v>39</v>
      </c>
      <c r="O54" t="s">
        <v>29</v>
      </c>
      <c r="P54">
        <v>10</v>
      </c>
      <c r="Q54">
        <v>727</v>
      </c>
      <c r="R54">
        <v>27</v>
      </c>
      <c r="S54">
        <v>9.1668491485971497</v>
      </c>
      <c r="T54" t="s">
        <v>30</v>
      </c>
      <c r="U54">
        <v>2.1224716191438202</v>
      </c>
      <c r="V54" t="s">
        <v>40</v>
      </c>
      <c r="W54" t="s">
        <v>41</v>
      </c>
      <c r="X54">
        <v>602.89849883838303</v>
      </c>
    </row>
    <row r="55" spans="1:24" x14ac:dyDescent="0.25">
      <c r="A55" t="s">
        <v>33</v>
      </c>
      <c r="B55" t="s">
        <v>107</v>
      </c>
      <c r="C55">
        <v>30.3414707112142</v>
      </c>
      <c r="D55">
        <v>93</v>
      </c>
      <c r="E55">
        <v>242</v>
      </c>
      <c r="F55">
        <v>8232.3348294258194</v>
      </c>
      <c r="G55" t="s">
        <v>55</v>
      </c>
      <c r="H55">
        <v>96</v>
      </c>
      <c r="I55">
        <v>25</v>
      </c>
      <c r="J55">
        <v>54</v>
      </c>
      <c r="K55">
        <v>3</v>
      </c>
      <c r="L55" t="s">
        <v>27</v>
      </c>
      <c r="M55">
        <v>1.0134865660958901</v>
      </c>
      <c r="N55" t="s">
        <v>39</v>
      </c>
      <c r="O55" t="s">
        <v>50</v>
      </c>
      <c r="P55">
        <v>1</v>
      </c>
      <c r="Q55">
        <v>631</v>
      </c>
      <c r="R55">
        <v>17</v>
      </c>
      <c r="S55">
        <v>83.344058991677898</v>
      </c>
      <c r="T55" t="s">
        <v>30</v>
      </c>
      <c r="U55">
        <v>1.41034757607602</v>
      </c>
      <c r="V55" t="s">
        <v>40</v>
      </c>
      <c r="W55" t="s">
        <v>32</v>
      </c>
      <c r="X55">
        <v>750.73784066827</v>
      </c>
    </row>
    <row r="56" spans="1:24" x14ac:dyDescent="0.25">
      <c r="A56" t="s">
        <v>24</v>
      </c>
      <c r="B56" t="s">
        <v>108</v>
      </c>
      <c r="C56">
        <v>31.1462431602408</v>
      </c>
      <c r="D56">
        <v>11</v>
      </c>
      <c r="E56">
        <v>622</v>
      </c>
      <c r="F56">
        <v>6088.0214799408504</v>
      </c>
      <c r="G56" t="s">
        <v>26</v>
      </c>
      <c r="H56">
        <v>33</v>
      </c>
      <c r="I56">
        <v>22</v>
      </c>
      <c r="J56">
        <v>61</v>
      </c>
      <c r="K56">
        <v>3</v>
      </c>
      <c r="L56" t="s">
        <v>27</v>
      </c>
      <c r="M56">
        <v>4.3051034712876302</v>
      </c>
      <c r="N56" t="s">
        <v>39</v>
      </c>
      <c r="O56" t="s">
        <v>45</v>
      </c>
      <c r="P56">
        <v>26</v>
      </c>
      <c r="Q56">
        <v>497</v>
      </c>
      <c r="R56">
        <v>29</v>
      </c>
      <c r="S56">
        <v>30.186023375822501</v>
      </c>
      <c r="T56" t="s">
        <v>64</v>
      </c>
      <c r="U56">
        <v>2.4787719755397402</v>
      </c>
      <c r="V56" t="s">
        <v>31</v>
      </c>
      <c r="W56" t="s">
        <v>32</v>
      </c>
      <c r="X56">
        <v>814.06999658218695</v>
      </c>
    </row>
    <row r="57" spans="1:24" x14ac:dyDescent="0.25">
      <c r="A57" t="s">
        <v>24</v>
      </c>
      <c r="B57" t="s">
        <v>109</v>
      </c>
      <c r="C57">
        <v>79.855058340789398</v>
      </c>
      <c r="D57">
        <v>16</v>
      </c>
      <c r="E57">
        <v>701</v>
      </c>
      <c r="F57">
        <v>2925.6751703038099</v>
      </c>
      <c r="G57" t="s">
        <v>55</v>
      </c>
      <c r="H57">
        <v>97</v>
      </c>
      <c r="I57">
        <v>11</v>
      </c>
      <c r="J57">
        <v>11</v>
      </c>
      <c r="K57">
        <v>5</v>
      </c>
      <c r="L57" t="s">
        <v>36</v>
      </c>
      <c r="M57">
        <v>5.0143649550309002</v>
      </c>
      <c r="N57" t="s">
        <v>61</v>
      </c>
      <c r="O57" t="s">
        <v>50</v>
      </c>
      <c r="P57">
        <v>27</v>
      </c>
      <c r="Q57">
        <v>918</v>
      </c>
      <c r="R57">
        <v>5</v>
      </c>
      <c r="S57">
        <v>30.323545256616502</v>
      </c>
      <c r="T57" t="s">
        <v>46</v>
      </c>
      <c r="U57">
        <v>4.5489196593963799</v>
      </c>
      <c r="V57" t="s">
        <v>56</v>
      </c>
      <c r="W57" t="s">
        <v>32</v>
      </c>
      <c r="X57">
        <v>323.01292795247798</v>
      </c>
    </row>
    <row r="58" spans="1:24" x14ac:dyDescent="0.25">
      <c r="A58" t="s">
        <v>33</v>
      </c>
      <c r="B58" t="s">
        <v>110</v>
      </c>
      <c r="C58">
        <v>20.9863860370433</v>
      </c>
      <c r="D58">
        <v>90</v>
      </c>
      <c r="E58">
        <v>93</v>
      </c>
      <c r="F58">
        <v>4767.0204843441297</v>
      </c>
      <c r="G58" t="s">
        <v>26</v>
      </c>
      <c r="H58">
        <v>25</v>
      </c>
      <c r="I58">
        <v>23</v>
      </c>
      <c r="J58">
        <v>83</v>
      </c>
      <c r="K58">
        <v>5</v>
      </c>
      <c r="L58" t="s">
        <v>43</v>
      </c>
      <c r="M58">
        <v>1.77442971407173</v>
      </c>
      <c r="N58" t="s">
        <v>39</v>
      </c>
      <c r="O58" t="s">
        <v>29</v>
      </c>
      <c r="P58">
        <v>24</v>
      </c>
      <c r="Q58">
        <v>826</v>
      </c>
      <c r="R58">
        <v>28</v>
      </c>
      <c r="S58">
        <v>12.8362845728327</v>
      </c>
      <c r="T58" t="s">
        <v>64</v>
      </c>
      <c r="U58">
        <v>1.1737554953874501</v>
      </c>
      <c r="V58" t="s">
        <v>40</v>
      </c>
      <c r="W58" t="s">
        <v>32</v>
      </c>
      <c r="X58">
        <v>832.210808706021</v>
      </c>
    </row>
    <row r="59" spans="1:24" x14ac:dyDescent="0.25">
      <c r="A59" t="s">
        <v>24</v>
      </c>
      <c r="B59" t="s">
        <v>111</v>
      </c>
      <c r="C59">
        <v>49.263205350734097</v>
      </c>
      <c r="D59">
        <v>65</v>
      </c>
      <c r="E59">
        <v>227</v>
      </c>
      <c r="F59">
        <v>1605.8669003924001</v>
      </c>
      <c r="G59" t="s">
        <v>38</v>
      </c>
      <c r="H59">
        <v>5</v>
      </c>
      <c r="I59">
        <v>18</v>
      </c>
      <c r="J59">
        <v>51</v>
      </c>
      <c r="K59">
        <v>1</v>
      </c>
      <c r="L59" t="s">
        <v>27</v>
      </c>
      <c r="M59">
        <v>9.1605585353818704</v>
      </c>
      <c r="N59" t="s">
        <v>61</v>
      </c>
      <c r="O59" t="s">
        <v>50</v>
      </c>
      <c r="P59">
        <v>21</v>
      </c>
      <c r="Q59">
        <v>588</v>
      </c>
      <c r="R59">
        <v>25</v>
      </c>
      <c r="S59">
        <v>67.779622987078099</v>
      </c>
      <c r="T59" t="s">
        <v>30</v>
      </c>
      <c r="U59">
        <v>2.5111748302126999</v>
      </c>
      <c r="V59" t="s">
        <v>47</v>
      </c>
      <c r="W59" t="s">
        <v>48</v>
      </c>
      <c r="X59">
        <v>482.19123860252802</v>
      </c>
    </row>
    <row r="60" spans="1:24" x14ac:dyDescent="0.25">
      <c r="A60" t="s">
        <v>33</v>
      </c>
      <c r="B60" t="s">
        <v>112</v>
      </c>
      <c r="C60">
        <v>59.841561377289302</v>
      </c>
      <c r="D60">
        <v>81</v>
      </c>
      <c r="E60">
        <v>896</v>
      </c>
      <c r="F60">
        <v>2021.1498103371</v>
      </c>
      <c r="G60" t="s">
        <v>26</v>
      </c>
      <c r="H60">
        <v>10</v>
      </c>
      <c r="I60">
        <v>5</v>
      </c>
      <c r="J60">
        <v>44</v>
      </c>
      <c r="K60">
        <v>7</v>
      </c>
      <c r="L60" t="s">
        <v>36</v>
      </c>
      <c r="M60">
        <v>4.9384385647120901</v>
      </c>
      <c r="N60" t="s">
        <v>28</v>
      </c>
      <c r="O60" t="s">
        <v>50</v>
      </c>
      <c r="P60">
        <v>18</v>
      </c>
      <c r="Q60">
        <v>396</v>
      </c>
      <c r="R60">
        <v>7</v>
      </c>
      <c r="S60">
        <v>65.047415094691402</v>
      </c>
      <c r="T60" t="s">
        <v>46</v>
      </c>
      <c r="U60">
        <v>1.7303747198591899</v>
      </c>
      <c r="V60" t="s">
        <v>31</v>
      </c>
      <c r="W60" t="s">
        <v>32</v>
      </c>
      <c r="X60">
        <v>110.364335231364</v>
      </c>
    </row>
    <row r="61" spans="1:24" x14ac:dyDescent="0.25">
      <c r="A61" t="s">
        <v>57</v>
      </c>
      <c r="B61" t="s">
        <v>113</v>
      </c>
      <c r="C61">
        <v>63.828398347710902</v>
      </c>
      <c r="D61">
        <v>30</v>
      </c>
      <c r="E61">
        <v>484</v>
      </c>
      <c r="F61">
        <v>1061.6185230132801</v>
      </c>
      <c r="G61" t="s">
        <v>26</v>
      </c>
      <c r="H61">
        <v>100</v>
      </c>
      <c r="I61">
        <v>16</v>
      </c>
      <c r="J61">
        <v>26</v>
      </c>
      <c r="K61">
        <v>7</v>
      </c>
      <c r="L61" t="s">
        <v>27</v>
      </c>
      <c r="M61">
        <v>7.2937225968677204</v>
      </c>
      <c r="N61" t="s">
        <v>39</v>
      </c>
      <c r="O61" t="s">
        <v>45</v>
      </c>
      <c r="P61">
        <v>11</v>
      </c>
      <c r="Q61">
        <v>176</v>
      </c>
      <c r="R61">
        <v>4</v>
      </c>
      <c r="S61">
        <v>1.90076224351945</v>
      </c>
      <c r="T61" t="s">
        <v>46</v>
      </c>
      <c r="U61">
        <v>0.44719401546382298</v>
      </c>
      <c r="V61" t="s">
        <v>40</v>
      </c>
      <c r="W61" t="s">
        <v>48</v>
      </c>
      <c r="X61">
        <v>312.57427361009297</v>
      </c>
    </row>
    <row r="62" spans="1:24" x14ac:dyDescent="0.25">
      <c r="A62" t="s">
        <v>33</v>
      </c>
      <c r="B62" t="s">
        <v>114</v>
      </c>
      <c r="C62">
        <v>17.028027920188698</v>
      </c>
      <c r="D62">
        <v>16</v>
      </c>
      <c r="E62">
        <v>380</v>
      </c>
      <c r="F62">
        <v>8864.0843495864301</v>
      </c>
      <c r="G62" t="s">
        <v>35</v>
      </c>
      <c r="H62">
        <v>41</v>
      </c>
      <c r="I62">
        <v>27</v>
      </c>
      <c r="J62">
        <v>72</v>
      </c>
      <c r="K62">
        <v>8</v>
      </c>
      <c r="L62" t="s">
        <v>43</v>
      </c>
      <c r="M62">
        <v>4.3813681581023101</v>
      </c>
      <c r="N62" t="s">
        <v>52</v>
      </c>
      <c r="O62" t="s">
        <v>29</v>
      </c>
      <c r="P62">
        <v>29</v>
      </c>
      <c r="Q62">
        <v>929</v>
      </c>
      <c r="R62">
        <v>24</v>
      </c>
      <c r="S62">
        <v>87.213057815135599</v>
      </c>
      <c r="T62" t="s">
        <v>46</v>
      </c>
      <c r="U62">
        <v>2.8530906166490499</v>
      </c>
      <c r="V62" t="s">
        <v>47</v>
      </c>
      <c r="W62" t="s">
        <v>48</v>
      </c>
      <c r="X62">
        <v>430.16909697513597</v>
      </c>
    </row>
    <row r="63" spans="1:24" x14ac:dyDescent="0.25">
      <c r="A63" t="s">
        <v>24</v>
      </c>
      <c r="B63" t="s">
        <v>115</v>
      </c>
      <c r="C63">
        <v>52.028749903294901</v>
      </c>
      <c r="D63">
        <v>23</v>
      </c>
      <c r="E63">
        <v>117</v>
      </c>
      <c r="F63">
        <v>6885.5893508962499</v>
      </c>
      <c r="G63" t="s">
        <v>38</v>
      </c>
      <c r="H63">
        <v>32</v>
      </c>
      <c r="I63">
        <v>23</v>
      </c>
      <c r="J63">
        <v>36</v>
      </c>
      <c r="K63">
        <v>7</v>
      </c>
      <c r="L63" t="s">
        <v>43</v>
      </c>
      <c r="M63">
        <v>9.0303404225219399</v>
      </c>
      <c r="N63" t="s">
        <v>52</v>
      </c>
      <c r="O63" t="s">
        <v>45</v>
      </c>
      <c r="P63">
        <v>14</v>
      </c>
      <c r="Q63">
        <v>480</v>
      </c>
      <c r="R63">
        <v>12</v>
      </c>
      <c r="S63">
        <v>78.702393968878894</v>
      </c>
      <c r="T63" t="s">
        <v>46</v>
      </c>
      <c r="U63">
        <v>4.3674705382050503</v>
      </c>
      <c r="V63" t="s">
        <v>40</v>
      </c>
      <c r="W63" t="s">
        <v>48</v>
      </c>
      <c r="X63">
        <v>164.366528243419</v>
      </c>
    </row>
    <row r="64" spans="1:24" x14ac:dyDescent="0.25">
      <c r="A64" t="s">
        <v>57</v>
      </c>
      <c r="B64" t="s">
        <v>116</v>
      </c>
      <c r="C64">
        <v>72.796353955587307</v>
      </c>
      <c r="D64">
        <v>89</v>
      </c>
      <c r="E64">
        <v>270</v>
      </c>
      <c r="F64">
        <v>3899.7468337292198</v>
      </c>
      <c r="G64" t="s">
        <v>38</v>
      </c>
      <c r="H64">
        <v>86</v>
      </c>
      <c r="I64">
        <v>2</v>
      </c>
      <c r="J64">
        <v>40</v>
      </c>
      <c r="K64">
        <v>7</v>
      </c>
      <c r="L64" t="s">
        <v>43</v>
      </c>
      <c r="M64">
        <v>7.2917013887767697</v>
      </c>
      <c r="N64" t="s">
        <v>61</v>
      </c>
      <c r="O64" t="s">
        <v>29</v>
      </c>
      <c r="P64">
        <v>13</v>
      </c>
      <c r="Q64">
        <v>751</v>
      </c>
      <c r="R64">
        <v>14</v>
      </c>
      <c r="S64">
        <v>21.048642725168602</v>
      </c>
      <c r="T64" t="s">
        <v>64</v>
      </c>
      <c r="U64">
        <v>1.87400140404437</v>
      </c>
      <c r="V64" t="s">
        <v>56</v>
      </c>
      <c r="W64" t="s">
        <v>41</v>
      </c>
      <c r="X64">
        <v>320.84651575911101</v>
      </c>
    </row>
    <row r="65" spans="1:24" x14ac:dyDescent="0.25">
      <c r="A65" t="s">
        <v>33</v>
      </c>
      <c r="B65" t="s">
        <v>117</v>
      </c>
      <c r="C65">
        <v>13.0173767852878</v>
      </c>
      <c r="D65">
        <v>55</v>
      </c>
      <c r="E65">
        <v>246</v>
      </c>
      <c r="F65">
        <v>4256.9491408502199</v>
      </c>
      <c r="G65" t="s">
        <v>26</v>
      </c>
      <c r="H65">
        <v>54</v>
      </c>
      <c r="I65">
        <v>19</v>
      </c>
      <c r="J65">
        <v>10</v>
      </c>
      <c r="K65">
        <v>4</v>
      </c>
      <c r="L65" t="s">
        <v>36</v>
      </c>
      <c r="M65">
        <v>2.45793352798733</v>
      </c>
      <c r="N65" t="s">
        <v>28</v>
      </c>
      <c r="O65" t="s">
        <v>53</v>
      </c>
      <c r="P65">
        <v>18</v>
      </c>
      <c r="Q65">
        <v>736</v>
      </c>
      <c r="R65">
        <v>10</v>
      </c>
      <c r="S65">
        <v>20.075003975630398</v>
      </c>
      <c r="T65" t="s">
        <v>30</v>
      </c>
      <c r="U65">
        <v>3.6328432903821302</v>
      </c>
      <c r="V65" t="s">
        <v>56</v>
      </c>
      <c r="W65" t="s">
        <v>48</v>
      </c>
      <c r="X65">
        <v>687.28617786641701</v>
      </c>
    </row>
    <row r="66" spans="1:24" x14ac:dyDescent="0.25">
      <c r="A66" t="s">
        <v>33</v>
      </c>
      <c r="B66" t="s">
        <v>118</v>
      </c>
      <c r="C66">
        <v>89.634095608135297</v>
      </c>
      <c r="D66">
        <v>11</v>
      </c>
      <c r="E66">
        <v>134</v>
      </c>
      <c r="F66">
        <v>8458.7308783671706</v>
      </c>
      <c r="G66" t="s">
        <v>35</v>
      </c>
      <c r="H66">
        <v>73</v>
      </c>
      <c r="I66">
        <v>27</v>
      </c>
      <c r="J66">
        <v>75</v>
      </c>
      <c r="K66">
        <v>6</v>
      </c>
      <c r="L66" t="s">
        <v>43</v>
      </c>
      <c r="M66">
        <v>4.5853534681946497</v>
      </c>
      <c r="N66" t="s">
        <v>39</v>
      </c>
      <c r="O66" t="s">
        <v>50</v>
      </c>
      <c r="P66">
        <v>17</v>
      </c>
      <c r="Q66">
        <v>328</v>
      </c>
      <c r="R66">
        <v>6</v>
      </c>
      <c r="S66">
        <v>8.6930424258772803</v>
      </c>
      <c r="T66" t="s">
        <v>46</v>
      </c>
      <c r="U66">
        <v>0.15948631471751401</v>
      </c>
      <c r="V66" t="s">
        <v>40</v>
      </c>
      <c r="W66" t="s">
        <v>41</v>
      </c>
      <c r="X66">
        <v>771.225084681157</v>
      </c>
    </row>
    <row r="67" spans="1:24" x14ac:dyDescent="0.25">
      <c r="A67" t="s">
        <v>33</v>
      </c>
      <c r="B67" t="s">
        <v>119</v>
      </c>
      <c r="C67">
        <v>33.697717206643098</v>
      </c>
      <c r="D67">
        <v>72</v>
      </c>
      <c r="E67">
        <v>457</v>
      </c>
      <c r="F67">
        <v>8354.5796864819895</v>
      </c>
      <c r="G67" t="s">
        <v>55</v>
      </c>
      <c r="H67">
        <v>57</v>
      </c>
      <c r="I67">
        <v>24</v>
      </c>
      <c r="J67">
        <v>54</v>
      </c>
      <c r="K67">
        <v>8</v>
      </c>
      <c r="L67" t="s">
        <v>43</v>
      </c>
      <c r="M67">
        <v>6.5805413478845898</v>
      </c>
      <c r="N67" t="s">
        <v>44</v>
      </c>
      <c r="O67" t="s">
        <v>45</v>
      </c>
      <c r="P67">
        <v>16</v>
      </c>
      <c r="Q67">
        <v>358</v>
      </c>
      <c r="R67">
        <v>21</v>
      </c>
      <c r="S67">
        <v>1.59722274305067</v>
      </c>
      <c r="T67" t="s">
        <v>46</v>
      </c>
      <c r="U67">
        <v>4.9110959548423301</v>
      </c>
      <c r="V67" t="s">
        <v>47</v>
      </c>
      <c r="W67" t="s">
        <v>41</v>
      </c>
      <c r="X67">
        <v>555.85910367174301</v>
      </c>
    </row>
    <row r="68" spans="1:24" x14ac:dyDescent="0.25">
      <c r="A68" t="s">
        <v>33</v>
      </c>
      <c r="B68" t="s">
        <v>120</v>
      </c>
      <c r="C68">
        <v>26.034869773962001</v>
      </c>
      <c r="D68">
        <v>52</v>
      </c>
      <c r="E68">
        <v>704</v>
      </c>
      <c r="F68">
        <v>8367.7216180201503</v>
      </c>
      <c r="G68" t="s">
        <v>35</v>
      </c>
      <c r="H68">
        <v>13</v>
      </c>
      <c r="I68">
        <v>17</v>
      </c>
      <c r="J68">
        <v>19</v>
      </c>
      <c r="K68">
        <v>8</v>
      </c>
      <c r="L68" t="s">
        <v>36</v>
      </c>
      <c r="M68">
        <v>2.2161427287713602</v>
      </c>
      <c r="N68" t="s">
        <v>44</v>
      </c>
      <c r="O68" t="s">
        <v>45</v>
      </c>
      <c r="P68">
        <v>24</v>
      </c>
      <c r="Q68">
        <v>867</v>
      </c>
      <c r="R68">
        <v>28</v>
      </c>
      <c r="S68">
        <v>42.084436738309897</v>
      </c>
      <c r="T68" t="s">
        <v>46</v>
      </c>
      <c r="U68">
        <v>3.44806328834026</v>
      </c>
      <c r="V68" t="s">
        <v>31</v>
      </c>
      <c r="W68" t="s">
        <v>48</v>
      </c>
      <c r="X68">
        <v>393.84334857842703</v>
      </c>
    </row>
    <row r="69" spans="1:24" x14ac:dyDescent="0.25">
      <c r="A69" t="s">
        <v>33</v>
      </c>
      <c r="B69" t="s">
        <v>121</v>
      </c>
      <c r="C69">
        <v>87.755432354001002</v>
      </c>
      <c r="D69">
        <v>16</v>
      </c>
      <c r="E69">
        <v>513</v>
      </c>
      <c r="F69">
        <v>9473.7980325083299</v>
      </c>
      <c r="G69" t="s">
        <v>38</v>
      </c>
      <c r="H69">
        <v>12</v>
      </c>
      <c r="I69">
        <v>9</v>
      </c>
      <c r="J69">
        <v>71</v>
      </c>
      <c r="K69">
        <v>9</v>
      </c>
      <c r="L69" t="s">
        <v>43</v>
      </c>
      <c r="M69">
        <v>9.1478115447106294</v>
      </c>
      <c r="N69" t="s">
        <v>39</v>
      </c>
      <c r="O69" t="s">
        <v>29</v>
      </c>
      <c r="P69">
        <v>10</v>
      </c>
      <c r="Q69">
        <v>198</v>
      </c>
      <c r="R69">
        <v>11</v>
      </c>
      <c r="S69">
        <v>7.0578761469782298</v>
      </c>
      <c r="T69" t="s">
        <v>64</v>
      </c>
      <c r="U69">
        <v>0.131955444311814</v>
      </c>
      <c r="V69" t="s">
        <v>56</v>
      </c>
      <c r="W69" t="s">
        <v>41</v>
      </c>
      <c r="X69">
        <v>169.27180138478599</v>
      </c>
    </row>
    <row r="70" spans="1:24" x14ac:dyDescent="0.25">
      <c r="A70" t="s">
        <v>24</v>
      </c>
      <c r="B70" t="s">
        <v>122</v>
      </c>
      <c r="C70">
        <v>37.931812382790298</v>
      </c>
      <c r="D70">
        <v>29</v>
      </c>
      <c r="E70">
        <v>163</v>
      </c>
      <c r="F70">
        <v>3550.21843278099</v>
      </c>
      <c r="G70" t="s">
        <v>26</v>
      </c>
      <c r="H70">
        <v>0</v>
      </c>
      <c r="I70">
        <v>8</v>
      </c>
      <c r="J70">
        <v>58</v>
      </c>
      <c r="K70">
        <v>8</v>
      </c>
      <c r="L70" t="s">
        <v>27</v>
      </c>
      <c r="M70">
        <v>1.19425186488499</v>
      </c>
      <c r="N70" t="s">
        <v>61</v>
      </c>
      <c r="O70" t="s">
        <v>53</v>
      </c>
      <c r="P70">
        <v>2</v>
      </c>
      <c r="Q70">
        <v>375</v>
      </c>
      <c r="R70">
        <v>18</v>
      </c>
      <c r="S70">
        <v>97.113581563462205</v>
      </c>
      <c r="T70" t="s">
        <v>46</v>
      </c>
      <c r="U70">
        <v>1.9834678721741801</v>
      </c>
      <c r="V70" t="s">
        <v>47</v>
      </c>
      <c r="W70" t="s">
        <v>48</v>
      </c>
      <c r="X70">
        <v>299.70630311810299</v>
      </c>
    </row>
    <row r="71" spans="1:24" x14ac:dyDescent="0.25">
      <c r="A71" t="s">
        <v>33</v>
      </c>
      <c r="B71" t="s">
        <v>123</v>
      </c>
      <c r="C71">
        <v>54.865528517069698</v>
      </c>
      <c r="D71">
        <v>62</v>
      </c>
      <c r="E71">
        <v>511</v>
      </c>
      <c r="F71">
        <v>1752.3810874841199</v>
      </c>
      <c r="G71" t="s">
        <v>26</v>
      </c>
      <c r="H71">
        <v>95</v>
      </c>
      <c r="I71">
        <v>1</v>
      </c>
      <c r="J71">
        <v>27</v>
      </c>
      <c r="K71">
        <v>3</v>
      </c>
      <c r="L71" t="s">
        <v>27</v>
      </c>
      <c r="M71">
        <v>9.7052867901203399</v>
      </c>
      <c r="N71" t="s">
        <v>52</v>
      </c>
      <c r="O71" t="s">
        <v>45</v>
      </c>
      <c r="P71">
        <v>9</v>
      </c>
      <c r="Q71">
        <v>862</v>
      </c>
      <c r="R71">
        <v>7</v>
      </c>
      <c r="S71">
        <v>77.627765812748095</v>
      </c>
      <c r="T71" t="s">
        <v>30</v>
      </c>
      <c r="U71">
        <v>1.3623879886490999</v>
      </c>
      <c r="V71" t="s">
        <v>40</v>
      </c>
      <c r="W71" t="s">
        <v>48</v>
      </c>
      <c r="X71">
        <v>207.66320620857499</v>
      </c>
    </row>
    <row r="72" spans="1:24" x14ac:dyDescent="0.25">
      <c r="A72" t="s">
        <v>24</v>
      </c>
      <c r="B72" t="s">
        <v>124</v>
      </c>
      <c r="C72">
        <v>47.914541824058702</v>
      </c>
      <c r="D72">
        <v>90</v>
      </c>
      <c r="E72">
        <v>32</v>
      </c>
      <c r="F72">
        <v>7014.8879872033804</v>
      </c>
      <c r="G72" t="s">
        <v>35</v>
      </c>
      <c r="H72">
        <v>10</v>
      </c>
      <c r="I72">
        <v>12</v>
      </c>
      <c r="J72">
        <v>22</v>
      </c>
      <c r="K72">
        <v>4</v>
      </c>
      <c r="L72" t="s">
        <v>27</v>
      </c>
      <c r="M72">
        <v>6.3157177546007199</v>
      </c>
      <c r="N72" t="s">
        <v>39</v>
      </c>
      <c r="O72" t="s">
        <v>53</v>
      </c>
      <c r="P72">
        <v>22</v>
      </c>
      <c r="Q72">
        <v>775</v>
      </c>
      <c r="R72">
        <v>16</v>
      </c>
      <c r="S72">
        <v>11.440781823761199</v>
      </c>
      <c r="T72" t="s">
        <v>64</v>
      </c>
      <c r="U72">
        <v>1.8305755986122301</v>
      </c>
      <c r="V72" t="s">
        <v>31</v>
      </c>
      <c r="W72" t="s">
        <v>41</v>
      </c>
      <c r="X72">
        <v>183.27289874871099</v>
      </c>
    </row>
    <row r="73" spans="1:24" x14ac:dyDescent="0.25">
      <c r="A73" t="s">
        <v>57</v>
      </c>
      <c r="B73" t="s">
        <v>125</v>
      </c>
      <c r="C73">
        <v>6.3815331627479601</v>
      </c>
      <c r="D73">
        <v>14</v>
      </c>
      <c r="E73">
        <v>637</v>
      </c>
      <c r="F73">
        <v>8180.3370854254399</v>
      </c>
      <c r="G73" t="s">
        <v>35</v>
      </c>
      <c r="H73">
        <v>76</v>
      </c>
      <c r="I73">
        <v>2</v>
      </c>
      <c r="J73">
        <v>26</v>
      </c>
      <c r="K73">
        <v>6</v>
      </c>
      <c r="L73" t="s">
        <v>36</v>
      </c>
      <c r="M73">
        <v>9.2281903170525101</v>
      </c>
      <c r="N73" t="s">
        <v>61</v>
      </c>
      <c r="O73" t="s">
        <v>53</v>
      </c>
      <c r="P73">
        <v>2</v>
      </c>
      <c r="Q73">
        <v>258</v>
      </c>
      <c r="R73">
        <v>10</v>
      </c>
      <c r="S73">
        <v>30.661677477859499</v>
      </c>
      <c r="T73" t="s">
        <v>30</v>
      </c>
      <c r="U73">
        <v>2.07875060787496</v>
      </c>
      <c r="V73" t="s">
        <v>31</v>
      </c>
      <c r="W73" t="s">
        <v>48</v>
      </c>
      <c r="X73">
        <v>405.167067888855</v>
      </c>
    </row>
    <row r="74" spans="1:24" x14ac:dyDescent="0.25">
      <c r="A74" t="s">
        <v>57</v>
      </c>
      <c r="B74" t="s">
        <v>126</v>
      </c>
      <c r="C74">
        <v>90.204427520528</v>
      </c>
      <c r="D74">
        <v>88</v>
      </c>
      <c r="E74">
        <v>478</v>
      </c>
      <c r="F74">
        <v>2633.1219813122498</v>
      </c>
      <c r="G74" t="s">
        <v>26</v>
      </c>
      <c r="H74">
        <v>57</v>
      </c>
      <c r="I74">
        <v>29</v>
      </c>
      <c r="J74">
        <v>77</v>
      </c>
      <c r="K74">
        <v>9</v>
      </c>
      <c r="L74" t="s">
        <v>36</v>
      </c>
      <c r="M74">
        <v>6.5996141596895397</v>
      </c>
      <c r="N74" t="s">
        <v>39</v>
      </c>
      <c r="O74" t="s">
        <v>53</v>
      </c>
      <c r="P74">
        <v>21</v>
      </c>
      <c r="Q74">
        <v>152</v>
      </c>
      <c r="R74">
        <v>11</v>
      </c>
      <c r="S74">
        <v>55.760492895244198</v>
      </c>
      <c r="T74" t="s">
        <v>30</v>
      </c>
      <c r="U74">
        <v>3.2133296074383</v>
      </c>
      <c r="V74" t="s">
        <v>47</v>
      </c>
      <c r="W74" t="s">
        <v>32</v>
      </c>
      <c r="X74">
        <v>677.94456984618296</v>
      </c>
    </row>
    <row r="75" spans="1:24" x14ac:dyDescent="0.25">
      <c r="A75" t="s">
        <v>57</v>
      </c>
      <c r="B75" t="s">
        <v>127</v>
      </c>
      <c r="C75">
        <v>83.851017681304597</v>
      </c>
      <c r="D75">
        <v>41</v>
      </c>
      <c r="E75">
        <v>375</v>
      </c>
      <c r="F75">
        <v>7910.8869161406801</v>
      </c>
      <c r="G75" t="s">
        <v>55</v>
      </c>
      <c r="H75">
        <v>17</v>
      </c>
      <c r="I75">
        <v>25</v>
      </c>
      <c r="J75">
        <v>66</v>
      </c>
      <c r="K75">
        <v>5</v>
      </c>
      <c r="L75" t="s">
        <v>27</v>
      </c>
      <c r="M75">
        <v>1.5129368369160701</v>
      </c>
      <c r="N75" t="s">
        <v>52</v>
      </c>
      <c r="O75" t="s">
        <v>62</v>
      </c>
      <c r="P75">
        <v>13</v>
      </c>
      <c r="Q75">
        <v>444</v>
      </c>
      <c r="R75">
        <v>4</v>
      </c>
      <c r="S75">
        <v>46.870238797617098</v>
      </c>
      <c r="T75" t="s">
        <v>46</v>
      </c>
      <c r="U75">
        <v>4.6205460645137002</v>
      </c>
      <c r="V75" t="s">
        <v>31</v>
      </c>
      <c r="W75" t="s">
        <v>48</v>
      </c>
      <c r="X75">
        <v>866.472800129657</v>
      </c>
    </row>
    <row r="76" spans="1:24" x14ac:dyDescent="0.25">
      <c r="A76" t="s">
        <v>24</v>
      </c>
      <c r="B76" t="s">
        <v>128</v>
      </c>
      <c r="C76">
        <v>3.1700114135661499</v>
      </c>
      <c r="D76">
        <v>64</v>
      </c>
      <c r="E76">
        <v>904</v>
      </c>
      <c r="F76">
        <v>5709.9452959692799</v>
      </c>
      <c r="G76" t="s">
        <v>35</v>
      </c>
      <c r="H76">
        <v>41</v>
      </c>
      <c r="I76">
        <v>6</v>
      </c>
      <c r="J76">
        <v>1</v>
      </c>
      <c r="K76">
        <v>5</v>
      </c>
      <c r="L76" t="s">
        <v>36</v>
      </c>
      <c r="M76">
        <v>5.2376546500374399</v>
      </c>
      <c r="N76" t="s">
        <v>52</v>
      </c>
      <c r="O76" t="s">
        <v>50</v>
      </c>
      <c r="P76">
        <v>1</v>
      </c>
      <c r="Q76">
        <v>919</v>
      </c>
      <c r="R76">
        <v>9</v>
      </c>
      <c r="S76">
        <v>80.580852156447804</v>
      </c>
      <c r="T76" t="s">
        <v>46</v>
      </c>
      <c r="U76">
        <v>0.39661272410993498</v>
      </c>
      <c r="V76" t="s">
        <v>47</v>
      </c>
      <c r="W76" t="s">
        <v>48</v>
      </c>
      <c r="X76">
        <v>341.55265678322297</v>
      </c>
    </row>
    <row r="77" spans="1:24" x14ac:dyDescent="0.25">
      <c r="A77" t="s">
        <v>33</v>
      </c>
      <c r="B77" t="s">
        <v>129</v>
      </c>
      <c r="C77">
        <v>92.996884233970604</v>
      </c>
      <c r="D77">
        <v>29</v>
      </c>
      <c r="E77">
        <v>106</v>
      </c>
      <c r="F77">
        <v>1889.07358977933</v>
      </c>
      <c r="G77" t="s">
        <v>26</v>
      </c>
      <c r="H77">
        <v>16</v>
      </c>
      <c r="I77">
        <v>20</v>
      </c>
      <c r="J77">
        <v>56</v>
      </c>
      <c r="K77">
        <v>10</v>
      </c>
      <c r="L77" t="s">
        <v>43</v>
      </c>
      <c r="M77">
        <v>2.47389776104546</v>
      </c>
      <c r="N77" t="s">
        <v>39</v>
      </c>
      <c r="O77" t="s">
        <v>62</v>
      </c>
      <c r="P77">
        <v>25</v>
      </c>
      <c r="Q77">
        <v>759</v>
      </c>
      <c r="R77">
        <v>11</v>
      </c>
      <c r="S77">
        <v>48.064782640006499</v>
      </c>
      <c r="T77" t="s">
        <v>64</v>
      </c>
      <c r="U77">
        <v>2.0300690886687498</v>
      </c>
      <c r="V77" t="s">
        <v>40</v>
      </c>
      <c r="W77" t="s">
        <v>41</v>
      </c>
      <c r="X77">
        <v>873.12964801765099</v>
      </c>
    </row>
    <row r="78" spans="1:24" x14ac:dyDescent="0.25">
      <c r="A78" t="s">
        <v>24</v>
      </c>
      <c r="B78" t="s">
        <v>130</v>
      </c>
      <c r="C78">
        <v>69.108799547430294</v>
      </c>
      <c r="D78">
        <v>23</v>
      </c>
      <c r="E78">
        <v>241</v>
      </c>
      <c r="F78">
        <v>5328.3759842977497</v>
      </c>
      <c r="G78" t="s">
        <v>55</v>
      </c>
      <c r="H78">
        <v>38</v>
      </c>
      <c r="I78">
        <v>1</v>
      </c>
      <c r="J78">
        <v>22</v>
      </c>
      <c r="K78">
        <v>10</v>
      </c>
      <c r="L78" t="s">
        <v>36</v>
      </c>
      <c r="M78">
        <v>7.0545383368369201</v>
      </c>
      <c r="N78" t="s">
        <v>61</v>
      </c>
      <c r="O78" t="s">
        <v>53</v>
      </c>
      <c r="P78">
        <v>25</v>
      </c>
      <c r="Q78">
        <v>985</v>
      </c>
      <c r="R78">
        <v>24</v>
      </c>
      <c r="S78">
        <v>64.323597795600193</v>
      </c>
      <c r="T78" t="s">
        <v>30</v>
      </c>
      <c r="U78">
        <v>2.1800374515822099</v>
      </c>
      <c r="V78" t="s">
        <v>47</v>
      </c>
      <c r="W78" t="s">
        <v>48</v>
      </c>
      <c r="X78">
        <v>997.41345013319403</v>
      </c>
    </row>
    <row r="79" spans="1:24" x14ac:dyDescent="0.25">
      <c r="A79" t="s">
        <v>24</v>
      </c>
      <c r="B79" t="s">
        <v>131</v>
      </c>
      <c r="C79">
        <v>57.449742958971399</v>
      </c>
      <c r="D79">
        <v>14</v>
      </c>
      <c r="E79">
        <v>359</v>
      </c>
      <c r="F79">
        <v>2483.7601775427902</v>
      </c>
      <c r="G79" t="s">
        <v>38</v>
      </c>
      <c r="H79">
        <v>96</v>
      </c>
      <c r="I79">
        <v>28</v>
      </c>
      <c r="J79">
        <v>57</v>
      </c>
      <c r="K79">
        <v>4</v>
      </c>
      <c r="L79" t="s">
        <v>27</v>
      </c>
      <c r="M79">
        <v>6.7809466256178901</v>
      </c>
      <c r="N79" t="s">
        <v>39</v>
      </c>
      <c r="O79" t="s">
        <v>45</v>
      </c>
      <c r="P79">
        <v>26</v>
      </c>
      <c r="Q79">
        <v>334</v>
      </c>
      <c r="R79">
        <v>5</v>
      </c>
      <c r="S79">
        <v>42.952444748991802</v>
      </c>
      <c r="T79" t="s">
        <v>64</v>
      </c>
      <c r="U79">
        <v>3.0551418183075398</v>
      </c>
      <c r="V79" t="s">
        <v>31</v>
      </c>
      <c r="W79" t="s">
        <v>32</v>
      </c>
      <c r="X79">
        <v>852.56809891984994</v>
      </c>
    </row>
    <row r="80" spans="1:24" x14ac:dyDescent="0.25">
      <c r="A80" t="s">
        <v>24</v>
      </c>
      <c r="B80" t="s">
        <v>132</v>
      </c>
      <c r="C80">
        <v>6.30688317611191</v>
      </c>
      <c r="D80">
        <v>50</v>
      </c>
      <c r="E80">
        <v>946</v>
      </c>
      <c r="F80">
        <v>1292.45841793775</v>
      </c>
      <c r="G80" t="s">
        <v>38</v>
      </c>
      <c r="H80">
        <v>5</v>
      </c>
      <c r="I80">
        <v>4</v>
      </c>
      <c r="J80">
        <v>51</v>
      </c>
      <c r="K80">
        <v>5</v>
      </c>
      <c r="L80" t="s">
        <v>27</v>
      </c>
      <c r="M80">
        <v>8.4670497708619905</v>
      </c>
      <c r="N80" t="s">
        <v>44</v>
      </c>
      <c r="O80" t="s">
        <v>29</v>
      </c>
      <c r="P80">
        <v>25</v>
      </c>
      <c r="Q80">
        <v>858</v>
      </c>
      <c r="R80">
        <v>21</v>
      </c>
      <c r="S80">
        <v>71.126514720403307</v>
      </c>
      <c r="T80" t="s">
        <v>30</v>
      </c>
      <c r="U80">
        <v>4.0968813324704501</v>
      </c>
      <c r="V80" t="s">
        <v>56</v>
      </c>
      <c r="W80" t="s">
        <v>41</v>
      </c>
      <c r="X80">
        <v>323.59220343132199</v>
      </c>
    </row>
    <row r="81" spans="1:24" x14ac:dyDescent="0.25">
      <c r="A81" t="s">
        <v>24</v>
      </c>
      <c r="B81" t="s">
        <v>133</v>
      </c>
      <c r="C81">
        <v>57.057031221103202</v>
      </c>
      <c r="D81">
        <v>56</v>
      </c>
      <c r="E81">
        <v>198</v>
      </c>
      <c r="F81">
        <v>7888.7232684270803</v>
      </c>
      <c r="G81" t="s">
        <v>26</v>
      </c>
      <c r="H81">
        <v>31</v>
      </c>
      <c r="I81">
        <v>25</v>
      </c>
      <c r="J81">
        <v>20</v>
      </c>
      <c r="K81">
        <v>1</v>
      </c>
      <c r="L81" t="s">
        <v>27</v>
      </c>
      <c r="M81">
        <v>6.49632536429504</v>
      </c>
      <c r="N81" t="s">
        <v>28</v>
      </c>
      <c r="O81" t="s">
        <v>53</v>
      </c>
      <c r="P81">
        <v>5</v>
      </c>
      <c r="Q81">
        <v>228</v>
      </c>
      <c r="R81">
        <v>12</v>
      </c>
      <c r="S81">
        <v>57.870902924036201</v>
      </c>
      <c r="T81" t="s">
        <v>30</v>
      </c>
      <c r="U81">
        <v>0.16587162748060799</v>
      </c>
      <c r="V81" t="s">
        <v>40</v>
      </c>
      <c r="W81" t="s">
        <v>41</v>
      </c>
      <c r="X81">
        <v>351.50421933503799</v>
      </c>
    </row>
    <row r="82" spans="1:24" x14ac:dyDescent="0.25">
      <c r="A82" t="s">
        <v>33</v>
      </c>
      <c r="B82" t="s">
        <v>134</v>
      </c>
      <c r="C82">
        <v>91.128318350444303</v>
      </c>
      <c r="D82">
        <v>75</v>
      </c>
      <c r="E82">
        <v>872</v>
      </c>
      <c r="F82">
        <v>8651.67268298206</v>
      </c>
      <c r="G82" t="s">
        <v>38</v>
      </c>
      <c r="H82">
        <v>39</v>
      </c>
      <c r="I82">
        <v>14</v>
      </c>
      <c r="J82">
        <v>41</v>
      </c>
      <c r="K82">
        <v>2</v>
      </c>
      <c r="L82" t="s">
        <v>43</v>
      </c>
      <c r="M82">
        <v>2.8331846794189701</v>
      </c>
      <c r="N82" t="s">
        <v>28</v>
      </c>
      <c r="O82" t="s">
        <v>62</v>
      </c>
      <c r="P82">
        <v>8</v>
      </c>
      <c r="Q82">
        <v>202</v>
      </c>
      <c r="R82">
        <v>5</v>
      </c>
      <c r="S82">
        <v>76.961228023819999</v>
      </c>
      <c r="T82" t="s">
        <v>46</v>
      </c>
      <c r="U82">
        <v>2.8496621985053299</v>
      </c>
      <c r="V82" t="s">
        <v>56</v>
      </c>
      <c r="W82" t="s">
        <v>32</v>
      </c>
      <c r="X82">
        <v>787.77985049434403</v>
      </c>
    </row>
    <row r="83" spans="1:24" x14ac:dyDescent="0.25">
      <c r="A83" t="s">
        <v>24</v>
      </c>
      <c r="B83" t="s">
        <v>135</v>
      </c>
      <c r="C83">
        <v>72.819206930318202</v>
      </c>
      <c r="D83">
        <v>9</v>
      </c>
      <c r="E83">
        <v>774</v>
      </c>
      <c r="F83">
        <v>4384.4134000458598</v>
      </c>
      <c r="G83" t="s">
        <v>38</v>
      </c>
      <c r="H83">
        <v>48</v>
      </c>
      <c r="I83">
        <v>6</v>
      </c>
      <c r="J83">
        <v>8</v>
      </c>
      <c r="K83">
        <v>5</v>
      </c>
      <c r="L83" t="s">
        <v>27</v>
      </c>
      <c r="M83">
        <v>4.0662775015120403</v>
      </c>
      <c r="N83" t="s">
        <v>28</v>
      </c>
      <c r="O83" t="s">
        <v>50</v>
      </c>
      <c r="P83">
        <v>28</v>
      </c>
      <c r="Q83">
        <v>698</v>
      </c>
      <c r="R83">
        <v>1</v>
      </c>
      <c r="S83">
        <v>19.789592941903599</v>
      </c>
      <c r="T83" t="s">
        <v>30</v>
      </c>
      <c r="U83">
        <v>2.54754712154871</v>
      </c>
      <c r="V83" t="s">
        <v>47</v>
      </c>
      <c r="W83" t="s">
        <v>32</v>
      </c>
      <c r="X83">
        <v>276.77833594679799</v>
      </c>
    </row>
    <row r="84" spans="1:24" x14ac:dyDescent="0.25">
      <c r="A84" t="s">
        <v>33</v>
      </c>
      <c r="B84" t="s">
        <v>136</v>
      </c>
      <c r="C84">
        <v>17.034930739467899</v>
      </c>
      <c r="D84">
        <v>13</v>
      </c>
      <c r="E84">
        <v>336</v>
      </c>
      <c r="F84">
        <v>2943.3818676094502</v>
      </c>
      <c r="G84" t="s">
        <v>38</v>
      </c>
      <c r="H84">
        <v>42</v>
      </c>
      <c r="I84">
        <v>19</v>
      </c>
      <c r="J84">
        <v>72</v>
      </c>
      <c r="K84">
        <v>1</v>
      </c>
      <c r="L84" t="s">
        <v>36</v>
      </c>
      <c r="M84">
        <v>4.7081818735419301</v>
      </c>
      <c r="N84" t="s">
        <v>61</v>
      </c>
      <c r="O84" t="s">
        <v>29</v>
      </c>
      <c r="P84">
        <v>6</v>
      </c>
      <c r="Q84">
        <v>955</v>
      </c>
      <c r="R84">
        <v>26</v>
      </c>
      <c r="S84">
        <v>4.4652784349432402</v>
      </c>
      <c r="T84" t="s">
        <v>30</v>
      </c>
      <c r="U84">
        <v>4.1378770486223502</v>
      </c>
      <c r="V84" t="s">
        <v>31</v>
      </c>
      <c r="W84" t="s">
        <v>41</v>
      </c>
      <c r="X84">
        <v>589.97855562804</v>
      </c>
    </row>
    <row r="85" spans="1:24" x14ac:dyDescent="0.25">
      <c r="A85" t="s">
        <v>24</v>
      </c>
      <c r="B85" t="s">
        <v>137</v>
      </c>
      <c r="C85">
        <v>68.911246211606297</v>
      </c>
      <c r="D85">
        <v>82</v>
      </c>
      <c r="E85">
        <v>663</v>
      </c>
      <c r="F85">
        <v>2411.7546321104901</v>
      </c>
      <c r="G85" t="s">
        <v>38</v>
      </c>
      <c r="H85">
        <v>65</v>
      </c>
      <c r="I85">
        <v>24</v>
      </c>
      <c r="J85">
        <v>7</v>
      </c>
      <c r="K85">
        <v>8</v>
      </c>
      <c r="L85" t="s">
        <v>27</v>
      </c>
      <c r="M85">
        <v>4.94983957799694</v>
      </c>
      <c r="N85" t="s">
        <v>39</v>
      </c>
      <c r="O85" t="s">
        <v>53</v>
      </c>
      <c r="P85">
        <v>20</v>
      </c>
      <c r="Q85">
        <v>443</v>
      </c>
      <c r="R85">
        <v>5</v>
      </c>
      <c r="S85">
        <v>97.730593800533001</v>
      </c>
      <c r="T85" t="s">
        <v>46</v>
      </c>
      <c r="U85">
        <v>0.77300613406724705</v>
      </c>
      <c r="V85" t="s">
        <v>31</v>
      </c>
      <c r="W85" t="s">
        <v>48</v>
      </c>
      <c r="X85">
        <v>682.97101822609295</v>
      </c>
    </row>
    <row r="86" spans="1:24" x14ac:dyDescent="0.25">
      <c r="A86" t="s">
        <v>24</v>
      </c>
      <c r="B86" t="s">
        <v>138</v>
      </c>
      <c r="C86">
        <v>89.104367292102197</v>
      </c>
      <c r="D86">
        <v>99</v>
      </c>
      <c r="E86">
        <v>618</v>
      </c>
      <c r="F86">
        <v>2048.2900998487098</v>
      </c>
      <c r="G86" t="s">
        <v>38</v>
      </c>
      <c r="H86">
        <v>73</v>
      </c>
      <c r="I86">
        <v>26</v>
      </c>
      <c r="J86">
        <v>80</v>
      </c>
      <c r="K86">
        <v>10</v>
      </c>
      <c r="L86" t="s">
        <v>36</v>
      </c>
      <c r="M86">
        <v>8.3816156249226292</v>
      </c>
      <c r="N86" t="s">
        <v>44</v>
      </c>
      <c r="O86" t="s">
        <v>62</v>
      </c>
      <c r="P86">
        <v>24</v>
      </c>
      <c r="Q86">
        <v>589</v>
      </c>
      <c r="R86">
        <v>22</v>
      </c>
      <c r="S86">
        <v>33.808636513209002</v>
      </c>
      <c r="T86" t="s">
        <v>64</v>
      </c>
      <c r="U86">
        <v>4.8434565771180402</v>
      </c>
      <c r="V86" t="s">
        <v>40</v>
      </c>
      <c r="W86" t="s">
        <v>32</v>
      </c>
      <c r="X86">
        <v>465.45700596368698</v>
      </c>
    </row>
    <row r="87" spans="1:24" x14ac:dyDescent="0.25">
      <c r="A87" t="s">
        <v>57</v>
      </c>
      <c r="B87" t="s">
        <v>139</v>
      </c>
      <c r="C87">
        <v>76.962994415193805</v>
      </c>
      <c r="D87">
        <v>83</v>
      </c>
      <c r="E87">
        <v>25</v>
      </c>
      <c r="F87">
        <v>8684.6130592538502</v>
      </c>
      <c r="G87" t="s">
        <v>35</v>
      </c>
      <c r="H87">
        <v>15</v>
      </c>
      <c r="I87">
        <v>18</v>
      </c>
      <c r="J87">
        <v>66</v>
      </c>
      <c r="K87">
        <v>2</v>
      </c>
      <c r="L87" t="s">
        <v>43</v>
      </c>
      <c r="M87">
        <v>8.2491687048717193</v>
      </c>
      <c r="N87" t="s">
        <v>44</v>
      </c>
      <c r="O87" t="s">
        <v>62</v>
      </c>
      <c r="P87">
        <v>4</v>
      </c>
      <c r="Q87">
        <v>211</v>
      </c>
      <c r="R87">
        <v>2</v>
      </c>
      <c r="S87">
        <v>69.929345518672307</v>
      </c>
      <c r="T87" t="s">
        <v>46</v>
      </c>
      <c r="U87">
        <v>1.3744289997457499</v>
      </c>
      <c r="V87" t="s">
        <v>31</v>
      </c>
      <c r="W87" t="s">
        <v>32</v>
      </c>
      <c r="X87">
        <v>842.68683000464102</v>
      </c>
    </row>
    <row r="88" spans="1:24" x14ac:dyDescent="0.25">
      <c r="A88" t="s">
        <v>33</v>
      </c>
      <c r="B88" t="s">
        <v>140</v>
      </c>
      <c r="C88">
        <v>19.9981769404042</v>
      </c>
      <c r="D88">
        <v>18</v>
      </c>
      <c r="E88">
        <v>223</v>
      </c>
      <c r="F88">
        <v>1229.59102856498</v>
      </c>
      <c r="G88" t="s">
        <v>38</v>
      </c>
      <c r="H88">
        <v>32</v>
      </c>
      <c r="I88">
        <v>14</v>
      </c>
      <c r="J88">
        <v>22</v>
      </c>
      <c r="K88">
        <v>6</v>
      </c>
      <c r="L88" t="s">
        <v>27</v>
      </c>
      <c r="M88">
        <v>1.4543053101535499</v>
      </c>
      <c r="N88" t="s">
        <v>39</v>
      </c>
      <c r="O88" t="s">
        <v>29</v>
      </c>
      <c r="P88">
        <v>4</v>
      </c>
      <c r="Q88">
        <v>569</v>
      </c>
      <c r="R88">
        <v>18</v>
      </c>
      <c r="S88">
        <v>74.608969995194599</v>
      </c>
      <c r="T88" t="s">
        <v>64</v>
      </c>
      <c r="U88">
        <v>2.0515129307662399</v>
      </c>
      <c r="V88" t="s">
        <v>47</v>
      </c>
      <c r="W88" t="s">
        <v>48</v>
      </c>
      <c r="X88">
        <v>264.25488983586598</v>
      </c>
    </row>
    <row r="89" spans="1:24" x14ac:dyDescent="0.25">
      <c r="A89" t="s">
        <v>24</v>
      </c>
      <c r="B89" t="s">
        <v>141</v>
      </c>
      <c r="C89">
        <v>80.414036650355698</v>
      </c>
      <c r="D89">
        <v>24</v>
      </c>
      <c r="E89">
        <v>79</v>
      </c>
      <c r="F89">
        <v>5133.8467010866898</v>
      </c>
      <c r="G89" t="s">
        <v>55</v>
      </c>
      <c r="H89">
        <v>5</v>
      </c>
      <c r="I89">
        <v>7</v>
      </c>
      <c r="J89">
        <v>55</v>
      </c>
      <c r="K89">
        <v>10</v>
      </c>
      <c r="L89" t="s">
        <v>36</v>
      </c>
      <c r="M89">
        <v>6.5758037975485299</v>
      </c>
      <c r="N89" t="s">
        <v>28</v>
      </c>
      <c r="O89" t="s">
        <v>62</v>
      </c>
      <c r="P89">
        <v>27</v>
      </c>
      <c r="Q89">
        <v>523</v>
      </c>
      <c r="R89">
        <v>17</v>
      </c>
      <c r="S89">
        <v>28.696996824143099</v>
      </c>
      <c r="T89" t="s">
        <v>46</v>
      </c>
      <c r="U89">
        <v>3.6937377878392699</v>
      </c>
      <c r="V89" t="s">
        <v>56</v>
      </c>
      <c r="W89" t="s">
        <v>32</v>
      </c>
      <c r="X89">
        <v>879.35921773492396</v>
      </c>
    </row>
    <row r="90" spans="1:24" x14ac:dyDescent="0.25">
      <c r="A90" t="s">
        <v>57</v>
      </c>
      <c r="B90" t="s">
        <v>142</v>
      </c>
      <c r="C90">
        <v>75.270406975724995</v>
      </c>
      <c r="D90">
        <v>58</v>
      </c>
      <c r="E90">
        <v>737</v>
      </c>
      <c r="F90">
        <v>9444.7420330629793</v>
      </c>
      <c r="G90" t="s">
        <v>55</v>
      </c>
      <c r="H90">
        <v>60</v>
      </c>
      <c r="I90">
        <v>18</v>
      </c>
      <c r="J90">
        <v>85</v>
      </c>
      <c r="K90">
        <v>7</v>
      </c>
      <c r="L90" t="s">
        <v>36</v>
      </c>
      <c r="M90">
        <v>3.8012531329310701</v>
      </c>
      <c r="N90" t="s">
        <v>61</v>
      </c>
      <c r="O90" t="s">
        <v>29</v>
      </c>
      <c r="P90">
        <v>21</v>
      </c>
      <c r="Q90">
        <v>953</v>
      </c>
      <c r="R90">
        <v>11</v>
      </c>
      <c r="S90">
        <v>68.1849190570411</v>
      </c>
      <c r="T90" t="s">
        <v>30</v>
      </c>
      <c r="U90">
        <v>0.722204401882931</v>
      </c>
      <c r="V90" t="s">
        <v>56</v>
      </c>
      <c r="W90" t="s">
        <v>48</v>
      </c>
      <c r="X90">
        <v>103.916247960704</v>
      </c>
    </row>
    <row r="91" spans="1:24" x14ac:dyDescent="0.25">
      <c r="A91" t="s">
        <v>57</v>
      </c>
      <c r="B91" t="s">
        <v>143</v>
      </c>
      <c r="C91">
        <v>97.760085581938597</v>
      </c>
      <c r="D91">
        <v>10</v>
      </c>
      <c r="E91">
        <v>134</v>
      </c>
      <c r="F91">
        <v>5924.6825668532301</v>
      </c>
      <c r="G91" t="s">
        <v>38</v>
      </c>
      <c r="H91">
        <v>90</v>
      </c>
      <c r="I91">
        <v>1</v>
      </c>
      <c r="J91">
        <v>27</v>
      </c>
      <c r="K91">
        <v>8</v>
      </c>
      <c r="L91" t="s">
        <v>27</v>
      </c>
      <c r="M91">
        <v>9.9298162452772498</v>
      </c>
      <c r="N91" t="s">
        <v>39</v>
      </c>
      <c r="O91" t="s">
        <v>45</v>
      </c>
      <c r="P91">
        <v>23</v>
      </c>
      <c r="Q91">
        <v>370</v>
      </c>
      <c r="R91">
        <v>11</v>
      </c>
      <c r="S91">
        <v>46.603873381644398</v>
      </c>
      <c r="T91" t="s">
        <v>30</v>
      </c>
      <c r="U91">
        <v>1.9076657339590699</v>
      </c>
      <c r="V91" t="s">
        <v>47</v>
      </c>
      <c r="W91" t="s">
        <v>32</v>
      </c>
      <c r="X91">
        <v>517.49997392906005</v>
      </c>
    </row>
    <row r="92" spans="1:24" x14ac:dyDescent="0.25">
      <c r="A92" t="s">
        <v>33</v>
      </c>
      <c r="B92" t="s">
        <v>144</v>
      </c>
      <c r="C92">
        <v>13.881913501359101</v>
      </c>
      <c r="D92">
        <v>56</v>
      </c>
      <c r="E92">
        <v>320</v>
      </c>
      <c r="F92">
        <v>9592.6335702803099</v>
      </c>
      <c r="G92" t="s">
        <v>26</v>
      </c>
      <c r="H92">
        <v>66</v>
      </c>
      <c r="I92">
        <v>18</v>
      </c>
      <c r="J92">
        <v>96</v>
      </c>
      <c r="K92">
        <v>7</v>
      </c>
      <c r="L92" t="s">
        <v>27</v>
      </c>
      <c r="M92">
        <v>7.6744307081126903</v>
      </c>
      <c r="N92" t="s">
        <v>28</v>
      </c>
      <c r="O92" t="s">
        <v>53</v>
      </c>
      <c r="P92">
        <v>8</v>
      </c>
      <c r="Q92">
        <v>585</v>
      </c>
      <c r="R92">
        <v>8</v>
      </c>
      <c r="S92">
        <v>85.675963335797903</v>
      </c>
      <c r="T92" t="s">
        <v>64</v>
      </c>
      <c r="U92">
        <v>1.2193822244013801</v>
      </c>
      <c r="V92" t="s">
        <v>47</v>
      </c>
      <c r="W92" t="s">
        <v>32</v>
      </c>
      <c r="X92">
        <v>990.07847250581096</v>
      </c>
    </row>
    <row r="93" spans="1:24" x14ac:dyDescent="0.25">
      <c r="A93" t="s">
        <v>57</v>
      </c>
      <c r="B93" t="s">
        <v>145</v>
      </c>
      <c r="C93">
        <v>62.111965463961702</v>
      </c>
      <c r="D93">
        <v>90</v>
      </c>
      <c r="E93">
        <v>916</v>
      </c>
      <c r="F93">
        <v>1935.20679350759</v>
      </c>
      <c r="G93" t="s">
        <v>55</v>
      </c>
      <c r="H93">
        <v>98</v>
      </c>
      <c r="I93">
        <v>22</v>
      </c>
      <c r="J93">
        <v>85</v>
      </c>
      <c r="K93">
        <v>7</v>
      </c>
      <c r="L93" t="s">
        <v>27</v>
      </c>
      <c r="M93">
        <v>7.4715140844011403</v>
      </c>
      <c r="N93" t="s">
        <v>52</v>
      </c>
      <c r="O93" t="s">
        <v>50</v>
      </c>
      <c r="P93">
        <v>5</v>
      </c>
      <c r="Q93">
        <v>207</v>
      </c>
      <c r="R93">
        <v>28</v>
      </c>
      <c r="S93">
        <v>39.772882502339897</v>
      </c>
      <c r="T93" t="s">
        <v>30</v>
      </c>
      <c r="U93">
        <v>0.62600185820939402</v>
      </c>
      <c r="V93" t="s">
        <v>47</v>
      </c>
      <c r="W93" t="s">
        <v>32</v>
      </c>
      <c r="X93">
        <v>996.77831495062298</v>
      </c>
    </row>
    <row r="94" spans="1:24" x14ac:dyDescent="0.25">
      <c r="A94" t="s">
        <v>57</v>
      </c>
      <c r="B94" t="s">
        <v>146</v>
      </c>
      <c r="C94">
        <v>47.714233075820196</v>
      </c>
      <c r="D94">
        <v>44</v>
      </c>
      <c r="E94">
        <v>276</v>
      </c>
      <c r="F94">
        <v>2100.1297546259302</v>
      </c>
      <c r="G94" t="s">
        <v>55</v>
      </c>
      <c r="H94">
        <v>90</v>
      </c>
      <c r="I94">
        <v>25</v>
      </c>
      <c r="J94">
        <v>10</v>
      </c>
      <c r="K94">
        <v>8</v>
      </c>
      <c r="L94" t="s">
        <v>27</v>
      </c>
      <c r="M94">
        <v>4.4695000261236002</v>
      </c>
      <c r="N94" t="s">
        <v>61</v>
      </c>
      <c r="O94" t="s">
        <v>29</v>
      </c>
      <c r="P94">
        <v>4</v>
      </c>
      <c r="Q94">
        <v>671</v>
      </c>
      <c r="R94">
        <v>29</v>
      </c>
      <c r="S94">
        <v>62.612690395614301</v>
      </c>
      <c r="T94" t="s">
        <v>64</v>
      </c>
      <c r="U94">
        <v>0.33343182522473902</v>
      </c>
      <c r="V94" t="s">
        <v>47</v>
      </c>
      <c r="W94" t="s">
        <v>32</v>
      </c>
      <c r="X94">
        <v>230.092782536762</v>
      </c>
    </row>
    <row r="95" spans="1:24" x14ac:dyDescent="0.25">
      <c r="A95" t="s">
        <v>24</v>
      </c>
      <c r="B95" t="s">
        <v>147</v>
      </c>
      <c r="C95">
        <v>69.290831002905406</v>
      </c>
      <c r="D95">
        <v>88</v>
      </c>
      <c r="E95">
        <v>114</v>
      </c>
      <c r="F95">
        <v>4531.4021336919004</v>
      </c>
      <c r="G95" t="s">
        <v>38</v>
      </c>
      <c r="H95">
        <v>63</v>
      </c>
      <c r="I95">
        <v>17</v>
      </c>
      <c r="J95">
        <v>66</v>
      </c>
      <c r="K95">
        <v>1</v>
      </c>
      <c r="L95" t="s">
        <v>43</v>
      </c>
      <c r="M95">
        <v>7.00643205900439</v>
      </c>
      <c r="N95" t="s">
        <v>52</v>
      </c>
      <c r="O95" t="s">
        <v>62</v>
      </c>
      <c r="P95">
        <v>21</v>
      </c>
      <c r="Q95">
        <v>824</v>
      </c>
      <c r="R95">
        <v>20</v>
      </c>
      <c r="S95">
        <v>35.633652343343797</v>
      </c>
      <c r="T95" t="s">
        <v>46</v>
      </c>
      <c r="U95">
        <v>4.1657817954241398</v>
      </c>
      <c r="V95" t="s">
        <v>40</v>
      </c>
      <c r="W95" t="s">
        <v>48</v>
      </c>
      <c r="X95">
        <v>823.52384588815505</v>
      </c>
    </row>
    <row r="96" spans="1:24" x14ac:dyDescent="0.25">
      <c r="A96" t="s">
        <v>57</v>
      </c>
      <c r="B96" t="s">
        <v>148</v>
      </c>
      <c r="C96">
        <v>3.0376887246314102</v>
      </c>
      <c r="D96">
        <v>97</v>
      </c>
      <c r="E96">
        <v>987</v>
      </c>
      <c r="F96">
        <v>7888.3565466618702</v>
      </c>
      <c r="G96" t="s">
        <v>38</v>
      </c>
      <c r="H96">
        <v>77</v>
      </c>
      <c r="I96">
        <v>26</v>
      </c>
      <c r="J96">
        <v>72</v>
      </c>
      <c r="K96">
        <v>9</v>
      </c>
      <c r="L96" t="s">
        <v>27</v>
      </c>
      <c r="M96">
        <v>6.9429459420325799</v>
      </c>
      <c r="N96" t="s">
        <v>61</v>
      </c>
      <c r="O96" t="s">
        <v>50</v>
      </c>
      <c r="P96">
        <v>12</v>
      </c>
      <c r="Q96">
        <v>908</v>
      </c>
      <c r="R96">
        <v>14</v>
      </c>
      <c r="S96">
        <v>60.387378614862101</v>
      </c>
      <c r="T96" t="s">
        <v>64</v>
      </c>
      <c r="U96">
        <v>1.4636074984727701</v>
      </c>
      <c r="V96" t="s">
        <v>47</v>
      </c>
      <c r="W96" t="s">
        <v>32</v>
      </c>
      <c r="X96">
        <v>846.66525698669398</v>
      </c>
    </row>
    <row r="97" spans="1:24" x14ac:dyDescent="0.25">
      <c r="A97" t="s">
        <v>24</v>
      </c>
      <c r="B97" t="s">
        <v>149</v>
      </c>
      <c r="C97">
        <v>77.903927219447695</v>
      </c>
      <c r="D97">
        <v>65</v>
      </c>
      <c r="E97">
        <v>672</v>
      </c>
      <c r="F97">
        <v>7386.3639440486604</v>
      </c>
      <c r="G97" t="s">
        <v>38</v>
      </c>
      <c r="H97">
        <v>15</v>
      </c>
      <c r="I97">
        <v>14</v>
      </c>
      <c r="J97">
        <v>26</v>
      </c>
      <c r="K97">
        <v>9</v>
      </c>
      <c r="L97" t="s">
        <v>27</v>
      </c>
      <c r="M97">
        <v>8.6303388696027508</v>
      </c>
      <c r="N97" t="s">
        <v>52</v>
      </c>
      <c r="O97" t="s">
        <v>29</v>
      </c>
      <c r="P97">
        <v>18</v>
      </c>
      <c r="Q97">
        <v>450</v>
      </c>
      <c r="R97">
        <v>26</v>
      </c>
      <c r="S97">
        <v>58.890685768589897</v>
      </c>
      <c r="T97" t="s">
        <v>30</v>
      </c>
      <c r="U97">
        <v>1.21088212958506</v>
      </c>
      <c r="V97" t="s">
        <v>40</v>
      </c>
      <c r="W97" t="s">
        <v>48</v>
      </c>
      <c r="X97">
        <v>778.86424137664699</v>
      </c>
    </row>
    <row r="98" spans="1:24" x14ac:dyDescent="0.25">
      <c r="A98" t="s">
        <v>57</v>
      </c>
      <c r="B98" t="s">
        <v>150</v>
      </c>
      <c r="C98">
        <v>24.423131420373299</v>
      </c>
      <c r="D98">
        <v>29</v>
      </c>
      <c r="E98">
        <v>324</v>
      </c>
      <c r="F98">
        <v>7698.4247656321104</v>
      </c>
      <c r="G98" t="s">
        <v>26</v>
      </c>
      <c r="H98">
        <v>67</v>
      </c>
      <c r="I98">
        <v>2</v>
      </c>
      <c r="J98">
        <v>32</v>
      </c>
      <c r="K98">
        <v>3</v>
      </c>
      <c r="L98" t="s">
        <v>43</v>
      </c>
      <c r="M98">
        <v>5.3528780439967996</v>
      </c>
      <c r="N98" t="s">
        <v>28</v>
      </c>
      <c r="O98" t="s">
        <v>29</v>
      </c>
      <c r="P98">
        <v>28</v>
      </c>
      <c r="Q98">
        <v>648</v>
      </c>
      <c r="R98">
        <v>28</v>
      </c>
      <c r="S98">
        <v>17.803756331391199</v>
      </c>
      <c r="T98" t="s">
        <v>30</v>
      </c>
      <c r="U98">
        <v>3.8720476814821301</v>
      </c>
      <c r="V98" t="s">
        <v>31</v>
      </c>
      <c r="W98" t="s">
        <v>48</v>
      </c>
      <c r="X98">
        <v>188.74214114905601</v>
      </c>
    </row>
    <row r="99" spans="1:24" x14ac:dyDescent="0.25">
      <c r="A99" t="s">
        <v>24</v>
      </c>
      <c r="B99" t="s">
        <v>151</v>
      </c>
      <c r="C99">
        <v>3.5261112591434101</v>
      </c>
      <c r="D99">
        <v>56</v>
      </c>
      <c r="E99">
        <v>62</v>
      </c>
      <c r="F99">
        <v>4370.9165799845296</v>
      </c>
      <c r="G99" t="s">
        <v>55</v>
      </c>
      <c r="H99">
        <v>46</v>
      </c>
      <c r="I99">
        <v>19</v>
      </c>
      <c r="J99">
        <v>4</v>
      </c>
      <c r="K99">
        <v>9</v>
      </c>
      <c r="L99" t="s">
        <v>36</v>
      </c>
      <c r="M99">
        <v>7.9048456112096703</v>
      </c>
      <c r="N99" t="s">
        <v>52</v>
      </c>
      <c r="O99" t="s">
        <v>29</v>
      </c>
      <c r="P99">
        <v>10</v>
      </c>
      <c r="Q99">
        <v>535</v>
      </c>
      <c r="R99">
        <v>13</v>
      </c>
      <c r="S99">
        <v>65.765155926367399</v>
      </c>
      <c r="T99" t="s">
        <v>46</v>
      </c>
      <c r="U99">
        <v>3.3762378347179798</v>
      </c>
      <c r="V99" t="s">
        <v>31</v>
      </c>
      <c r="W99" t="s">
        <v>48</v>
      </c>
      <c r="X99">
        <v>540.13242286796697</v>
      </c>
    </row>
    <row r="100" spans="1:24" x14ac:dyDescent="0.25">
      <c r="A100" t="s">
        <v>33</v>
      </c>
      <c r="B100" t="s">
        <v>152</v>
      </c>
      <c r="C100">
        <v>19.754604866878601</v>
      </c>
      <c r="D100">
        <v>43</v>
      </c>
      <c r="E100">
        <v>913</v>
      </c>
      <c r="F100">
        <v>8525.9525596835192</v>
      </c>
      <c r="G100" t="s">
        <v>35</v>
      </c>
      <c r="H100">
        <v>53</v>
      </c>
      <c r="I100">
        <v>1</v>
      </c>
      <c r="J100">
        <v>27</v>
      </c>
      <c r="K100">
        <v>7</v>
      </c>
      <c r="L100" t="s">
        <v>27</v>
      </c>
      <c r="M100">
        <v>1.4098010951380699</v>
      </c>
      <c r="N100" t="s">
        <v>44</v>
      </c>
      <c r="O100" t="s">
        <v>62</v>
      </c>
      <c r="P100">
        <v>28</v>
      </c>
      <c r="Q100">
        <v>581</v>
      </c>
      <c r="R100">
        <v>9</v>
      </c>
      <c r="S100">
        <v>5.6046908643717801</v>
      </c>
      <c r="T100" t="s">
        <v>30</v>
      </c>
      <c r="U100">
        <v>2.9081221693512598</v>
      </c>
      <c r="V100" t="s">
        <v>47</v>
      </c>
      <c r="W100" t="s">
        <v>48</v>
      </c>
      <c r="X100">
        <v>882.19886354704101</v>
      </c>
    </row>
    <row r="101" spans="1:24" x14ac:dyDescent="0.25">
      <c r="A101" t="s">
        <v>24</v>
      </c>
      <c r="B101" t="s">
        <v>153</v>
      </c>
      <c r="C101">
        <v>68.517832699276596</v>
      </c>
      <c r="D101">
        <v>17</v>
      </c>
      <c r="E101">
        <v>627</v>
      </c>
      <c r="F101">
        <v>9185.1858291817007</v>
      </c>
      <c r="G101" t="s">
        <v>38</v>
      </c>
      <c r="H101">
        <v>55</v>
      </c>
      <c r="I101">
        <v>8</v>
      </c>
      <c r="J101">
        <v>59</v>
      </c>
      <c r="K101">
        <v>6</v>
      </c>
      <c r="L101" t="s">
        <v>27</v>
      </c>
      <c r="M101">
        <v>1.3110237561206199</v>
      </c>
      <c r="N101" t="s">
        <v>61</v>
      </c>
      <c r="O101" t="s">
        <v>62</v>
      </c>
      <c r="P101">
        <v>29</v>
      </c>
      <c r="Q101">
        <v>921</v>
      </c>
      <c r="R101">
        <v>2</v>
      </c>
      <c r="S101">
        <v>38.072898520625998</v>
      </c>
      <c r="T101" t="s">
        <v>46</v>
      </c>
      <c r="U101">
        <v>0.34602729070550298</v>
      </c>
      <c r="V101" t="s">
        <v>47</v>
      </c>
      <c r="W101" t="s">
        <v>32</v>
      </c>
      <c r="X101">
        <v>210.743008964246</v>
      </c>
    </row>
  </sheetData>
  <autoFilter ref="A1:X101" xr:uid="{FA75D4F1-5AE7-4C68-95F8-D57EAD9E701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EB1B-35D4-4143-B094-C0EE5F433692}">
  <dimension ref="A1:AE101"/>
  <sheetViews>
    <sheetView tabSelected="1" topLeftCell="P2" workbookViewId="0">
      <selection activeCell="Y23" sqref="Y23"/>
    </sheetView>
  </sheetViews>
  <sheetFormatPr defaultRowHeight="15" x14ac:dyDescent="0.25"/>
  <cols>
    <col min="1" max="1" width="20.140625" customWidth="1"/>
    <col min="2" max="2" width="6.7109375" customWidth="1"/>
    <col min="3" max="3" width="12" style="3" bestFit="1" customWidth="1"/>
    <col min="4" max="4" width="13.28515625" style="5" customWidth="1"/>
    <col min="5" max="5" width="25.140625" style="5" customWidth="1"/>
    <col min="6" max="6" width="18.7109375" style="3" bestFit="1" customWidth="1"/>
    <col min="7" max="7" width="24.7109375" customWidth="1"/>
    <col min="8" max="8" width="13.85546875" style="5" customWidth="1"/>
    <col min="9" max="9" width="12.7109375" style="5" customWidth="1"/>
    <col min="10" max="10" width="21.7109375" style="5" bestFit="1" customWidth="1"/>
    <col min="11" max="11" width="18" style="5" customWidth="1"/>
    <col min="12" max="12" width="26.85546875" style="5" bestFit="1" customWidth="1"/>
    <col min="13" max="13" width="16.5703125" style="5" customWidth="1"/>
    <col min="14" max="14" width="18.42578125" bestFit="1" customWidth="1"/>
    <col min="15" max="15" width="15.140625" style="3" customWidth="1"/>
    <col min="16" max="16" width="16.28515625" customWidth="1"/>
    <col min="17" max="17" width="10.5703125" customWidth="1"/>
    <col min="18" max="18" width="12.140625" style="5" customWidth="1"/>
    <col min="19" max="19" width="20.85546875" style="5" customWidth="1"/>
    <col min="20" max="20" width="25.5703125" style="5" customWidth="1"/>
    <col min="21" max="21" width="21.28515625" style="3" customWidth="1"/>
    <col min="22" max="22" width="19.28515625" customWidth="1"/>
    <col min="23" max="23" width="16.28515625" style="7" customWidth="1"/>
    <col min="24" max="24" width="24" bestFit="1" customWidth="1"/>
    <col min="31" max="31" width="11.140625" bestFit="1" customWidth="1"/>
  </cols>
  <sheetData>
    <row r="1" spans="1:31" x14ac:dyDescent="0.25">
      <c r="A1" s="1" t="s">
        <v>175</v>
      </c>
      <c r="B1" s="1" t="s">
        <v>1</v>
      </c>
      <c r="C1" s="2" t="s">
        <v>2</v>
      </c>
      <c r="D1" s="4" t="s">
        <v>3</v>
      </c>
      <c r="E1" s="4" t="s">
        <v>157</v>
      </c>
      <c r="F1" s="2" t="s">
        <v>174</v>
      </c>
      <c r="G1" s="1" t="s">
        <v>159</v>
      </c>
      <c r="H1" s="4" t="s">
        <v>160</v>
      </c>
      <c r="I1" s="4" t="s">
        <v>8</v>
      </c>
      <c r="J1" s="4" t="s">
        <v>161</v>
      </c>
      <c r="K1" s="4" t="s">
        <v>163</v>
      </c>
      <c r="L1" s="4" t="s">
        <v>162</v>
      </c>
      <c r="M1" s="4" t="s">
        <v>164</v>
      </c>
      <c r="N1" s="1" t="s">
        <v>165</v>
      </c>
      <c r="O1" s="2" t="s">
        <v>166</v>
      </c>
      <c r="P1" s="1" t="s">
        <v>167</v>
      </c>
      <c r="Q1" s="1" t="s">
        <v>14</v>
      </c>
      <c r="R1" s="4" t="s">
        <v>168</v>
      </c>
      <c r="S1" s="4" t="s">
        <v>16</v>
      </c>
      <c r="T1" s="4" t="s">
        <v>169</v>
      </c>
      <c r="U1" s="2" t="s">
        <v>170</v>
      </c>
      <c r="V1" s="1" t="s">
        <v>171</v>
      </c>
      <c r="W1" s="6" t="s">
        <v>172</v>
      </c>
      <c r="X1" s="6" t="s">
        <v>184</v>
      </c>
      <c r="Y1" s="1" t="s">
        <v>173</v>
      </c>
      <c r="Z1" s="1" t="s">
        <v>22</v>
      </c>
      <c r="AA1" s="2" t="s">
        <v>23</v>
      </c>
    </row>
    <row r="2" spans="1:31" x14ac:dyDescent="0.25">
      <c r="A2" t="s">
        <v>154</v>
      </c>
      <c r="B2" t="s">
        <v>25</v>
      </c>
      <c r="C2" s="3">
        <v>69.81</v>
      </c>
      <c r="D2" s="5">
        <v>55</v>
      </c>
      <c r="E2" s="5">
        <v>802</v>
      </c>
      <c r="F2" s="3">
        <v>8662</v>
      </c>
      <c r="G2" t="s">
        <v>158</v>
      </c>
      <c r="H2" s="5">
        <v>58</v>
      </c>
      <c r="I2" s="5">
        <v>7</v>
      </c>
      <c r="J2" s="5" t="str">
        <f>IF(I2&lt;=7, "Fast", IF(I2&lt;=14, "Moderate", "Slow"))</f>
        <v>Fast</v>
      </c>
      <c r="K2" s="5">
        <v>96</v>
      </c>
      <c r="L2" s="5" t="str">
        <f>IF(K2&lt;=20, "Small", IF(K2&lt;=60, "Medium", "Large"))</f>
        <v>Large</v>
      </c>
      <c r="M2" s="5">
        <v>4</v>
      </c>
      <c r="N2" t="s">
        <v>27</v>
      </c>
      <c r="O2" s="3">
        <v>2.96</v>
      </c>
      <c r="P2" t="s">
        <v>28</v>
      </c>
      <c r="Q2" t="s">
        <v>29</v>
      </c>
      <c r="R2" s="5">
        <v>29</v>
      </c>
      <c r="S2" s="5">
        <v>215</v>
      </c>
      <c r="T2" s="5">
        <v>29</v>
      </c>
      <c r="U2" s="3">
        <v>46.28</v>
      </c>
      <c r="V2" t="s">
        <v>30</v>
      </c>
      <c r="W2" s="7">
        <v>22.6410360849925</v>
      </c>
      <c r="X2" s="7">
        <f>Supply_Chain_Table[[#This Row],[Defect Rates]]/100</f>
        <v>0.226410360849925</v>
      </c>
      <c r="Y2" t="s">
        <v>31</v>
      </c>
      <c r="Z2" t="s">
        <v>32</v>
      </c>
      <c r="AA2" s="3">
        <v>187.75</v>
      </c>
    </row>
    <row r="3" spans="1:31" x14ac:dyDescent="0.25">
      <c r="A3" t="s">
        <v>155</v>
      </c>
      <c r="B3" t="s">
        <v>34</v>
      </c>
      <c r="C3" s="3">
        <v>14.84</v>
      </c>
      <c r="D3" s="5">
        <v>95</v>
      </c>
      <c r="E3" s="5">
        <v>736</v>
      </c>
      <c r="F3" s="3">
        <v>7460.9</v>
      </c>
      <c r="G3" t="s">
        <v>35</v>
      </c>
      <c r="H3" s="5">
        <v>53</v>
      </c>
      <c r="I3" s="5">
        <v>30</v>
      </c>
      <c r="J3" s="5" t="str">
        <f t="shared" ref="J3:J66" si="0">IF(I3&lt;=7, "Fast", IF(I3&lt;=14, "Moderate", "Slow"))</f>
        <v>Slow</v>
      </c>
      <c r="K3" s="5">
        <v>37</v>
      </c>
      <c r="L3" s="5" t="str">
        <f t="shared" ref="L3:L66" si="1">IF(K3&lt;=20, "Small", IF(K3&lt;=60, "Medium", "Large"))</f>
        <v>Medium</v>
      </c>
      <c r="M3" s="5">
        <v>2</v>
      </c>
      <c r="N3" t="s">
        <v>36</v>
      </c>
      <c r="O3" s="3">
        <v>9.7200000000000006</v>
      </c>
      <c r="P3" t="s">
        <v>28</v>
      </c>
      <c r="Q3" t="s">
        <v>29</v>
      </c>
      <c r="R3" s="5">
        <v>23</v>
      </c>
      <c r="S3" s="5">
        <v>517</v>
      </c>
      <c r="T3" s="5">
        <v>30</v>
      </c>
      <c r="U3" s="3">
        <v>33.619999999999997</v>
      </c>
      <c r="V3" t="s">
        <v>30</v>
      </c>
      <c r="W3" s="7">
        <v>4.8540680263886999</v>
      </c>
      <c r="X3" s="7">
        <f>Supply_Chain_Table[[#This Row],[Defect Rates]]/100</f>
        <v>4.8540680263886998E-2</v>
      </c>
      <c r="Y3" t="s">
        <v>31</v>
      </c>
      <c r="Z3" t="s">
        <v>32</v>
      </c>
      <c r="AA3" s="3">
        <v>503.07</v>
      </c>
    </row>
    <row r="4" spans="1:31" x14ac:dyDescent="0.25">
      <c r="A4" t="s">
        <v>154</v>
      </c>
      <c r="B4" t="s">
        <v>37</v>
      </c>
      <c r="C4" s="3">
        <v>11.32</v>
      </c>
      <c r="D4" s="5">
        <v>34</v>
      </c>
      <c r="E4" s="5">
        <v>8</v>
      </c>
      <c r="F4" s="3">
        <v>9577.75</v>
      </c>
      <c r="G4" t="s">
        <v>38</v>
      </c>
      <c r="H4" s="5">
        <v>1</v>
      </c>
      <c r="I4" s="5">
        <v>10</v>
      </c>
      <c r="J4" s="5" t="str">
        <f t="shared" si="0"/>
        <v>Moderate</v>
      </c>
      <c r="K4" s="5">
        <v>88</v>
      </c>
      <c r="L4" s="5" t="str">
        <f t="shared" si="1"/>
        <v>Large</v>
      </c>
      <c r="M4" s="5">
        <v>2</v>
      </c>
      <c r="N4" t="s">
        <v>27</v>
      </c>
      <c r="O4" s="3">
        <v>8.0500000000000007</v>
      </c>
      <c r="P4" t="s">
        <v>39</v>
      </c>
      <c r="Q4" t="s">
        <v>29</v>
      </c>
      <c r="R4" s="5">
        <v>12</v>
      </c>
      <c r="S4" s="5">
        <v>971</v>
      </c>
      <c r="T4" s="5">
        <v>27</v>
      </c>
      <c r="U4" s="3">
        <v>30.69</v>
      </c>
      <c r="V4" t="s">
        <v>30</v>
      </c>
      <c r="W4" s="7">
        <v>4.5805926191992201</v>
      </c>
      <c r="X4" s="7">
        <f>Supply_Chain_Table[[#This Row],[Defect Rates]]/100</f>
        <v>4.5805926191992204E-2</v>
      </c>
      <c r="Y4" t="s">
        <v>40</v>
      </c>
      <c r="Z4" t="s">
        <v>41</v>
      </c>
      <c r="AA4" s="3">
        <v>141.91999999999999</v>
      </c>
      <c r="AE4" s="3">
        <f>SUM(Supply_Chain_Table[Revenue])</f>
        <v>577604.85999999987</v>
      </c>
    </row>
    <row r="5" spans="1:31" x14ac:dyDescent="0.25">
      <c r="A5" t="s">
        <v>155</v>
      </c>
      <c r="B5" t="s">
        <v>42</v>
      </c>
      <c r="C5" s="3">
        <v>61.16</v>
      </c>
      <c r="D5" s="5">
        <v>68</v>
      </c>
      <c r="E5" s="5">
        <v>83</v>
      </c>
      <c r="F5" s="3">
        <v>7766.84</v>
      </c>
      <c r="G5" t="s">
        <v>158</v>
      </c>
      <c r="H5" s="5">
        <v>23</v>
      </c>
      <c r="I5" s="5">
        <v>13</v>
      </c>
      <c r="J5" s="5" t="str">
        <f t="shared" si="0"/>
        <v>Moderate</v>
      </c>
      <c r="K5" s="5">
        <v>59</v>
      </c>
      <c r="L5" s="5" t="str">
        <f t="shared" si="1"/>
        <v>Medium</v>
      </c>
      <c r="M5" s="5">
        <v>6</v>
      </c>
      <c r="N5" t="s">
        <v>43</v>
      </c>
      <c r="O5" s="3">
        <v>1.73</v>
      </c>
      <c r="P5" t="s">
        <v>44</v>
      </c>
      <c r="Q5" t="s">
        <v>45</v>
      </c>
      <c r="R5" s="5">
        <v>24</v>
      </c>
      <c r="S5" s="5">
        <v>937</v>
      </c>
      <c r="T5" s="5">
        <v>18</v>
      </c>
      <c r="U5" s="3">
        <v>35.619999999999997</v>
      </c>
      <c r="V5" t="s">
        <v>46</v>
      </c>
      <c r="W5" s="7">
        <v>4.7466486206477496</v>
      </c>
      <c r="X5" s="7">
        <f>Supply_Chain_Table[[#This Row],[Defect Rates]]/100</f>
        <v>4.7466486206477497E-2</v>
      </c>
      <c r="Y5" t="s">
        <v>47</v>
      </c>
      <c r="Z5" t="s">
        <v>48</v>
      </c>
      <c r="AA5" s="3">
        <v>254.78</v>
      </c>
      <c r="AE5" s="5">
        <f>SUM(Supply_Chain_Table[Number of Products Sold])</f>
        <v>46099</v>
      </c>
    </row>
    <row r="6" spans="1:31" x14ac:dyDescent="0.25">
      <c r="A6" t="s">
        <v>155</v>
      </c>
      <c r="B6" t="s">
        <v>49</v>
      </c>
      <c r="C6" s="3">
        <v>4.8099999999999996</v>
      </c>
      <c r="D6" s="5">
        <v>26</v>
      </c>
      <c r="E6" s="5">
        <v>871</v>
      </c>
      <c r="F6" s="3">
        <v>2686.51</v>
      </c>
      <c r="G6" t="s">
        <v>158</v>
      </c>
      <c r="H6" s="5">
        <v>5</v>
      </c>
      <c r="I6" s="5">
        <v>3</v>
      </c>
      <c r="J6" s="5" t="str">
        <f t="shared" si="0"/>
        <v>Fast</v>
      </c>
      <c r="K6" s="5">
        <v>56</v>
      </c>
      <c r="L6" s="5" t="str">
        <f t="shared" si="1"/>
        <v>Medium</v>
      </c>
      <c r="M6" s="5">
        <v>8</v>
      </c>
      <c r="N6" t="s">
        <v>36</v>
      </c>
      <c r="O6" s="3">
        <v>3.89</v>
      </c>
      <c r="P6" t="s">
        <v>39</v>
      </c>
      <c r="Q6" t="s">
        <v>50</v>
      </c>
      <c r="R6" s="5">
        <v>5</v>
      </c>
      <c r="S6" s="5">
        <v>414</v>
      </c>
      <c r="T6" s="5">
        <v>3</v>
      </c>
      <c r="U6" s="3">
        <v>92.07</v>
      </c>
      <c r="V6" t="s">
        <v>46</v>
      </c>
      <c r="W6" s="7">
        <v>3.1455795228330001</v>
      </c>
      <c r="X6" s="7">
        <f>Supply_Chain_Table[[#This Row],[Defect Rates]]/100</f>
        <v>3.1455795228330002E-2</v>
      </c>
      <c r="Y6" t="s">
        <v>40</v>
      </c>
      <c r="Z6" t="s">
        <v>48</v>
      </c>
      <c r="AA6" s="3">
        <v>923.44</v>
      </c>
      <c r="AE6">
        <f>COUNTA(Supply_Chain_Table[SKU])</f>
        <v>100</v>
      </c>
    </row>
    <row r="7" spans="1:31" x14ac:dyDescent="0.25">
      <c r="A7" t="s">
        <v>154</v>
      </c>
      <c r="B7" t="s">
        <v>51</v>
      </c>
      <c r="C7" s="3">
        <v>1.7</v>
      </c>
      <c r="D7" s="5">
        <v>87</v>
      </c>
      <c r="E7" s="5">
        <v>147</v>
      </c>
      <c r="F7" s="3">
        <v>2828.35</v>
      </c>
      <c r="G7" t="s">
        <v>158</v>
      </c>
      <c r="H7" s="5">
        <v>90</v>
      </c>
      <c r="I7" s="5">
        <v>27</v>
      </c>
      <c r="J7" s="5" t="str">
        <f t="shared" si="0"/>
        <v>Slow</v>
      </c>
      <c r="K7" s="5">
        <v>66</v>
      </c>
      <c r="L7" s="5" t="str">
        <f t="shared" si="1"/>
        <v>Large</v>
      </c>
      <c r="M7" s="5">
        <v>3</v>
      </c>
      <c r="N7" t="s">
        <v>27</v>
      </c>
      <c r="O7" s="3">
        <v>4.4400000000000004</v>
      </c>
      <c r="P7" t="s">
        <v>52</v>
      </c>
      <c r="Q7" t="s">
        <v>53</v>
      </c>
      <c r="R7" s="5">
        <v>10</v>
      </c>
      <c r="S7" s="5">
        <v>104</v>
      </c>
      <c r="T7" s="5">
        <v>17</v>
      </c>
      <c r="U7" s="3">
        <v>56.77</v>
      </c>
      <c r="V7" t="s">
        <v>46</v>
      </c>
      <c r="W7" s="7">
        <v>2.7791935115711599</v>
      </c>
      <c r="X7" s="7">
        <f>Supply_Chain_Table[[#This Row],[Defect Rates]]/100</f>
        <v>2.77919351157116E-2</v>
      </c>
      <c r="Y7" t="s">
        <v>31</v>
      </c>
      <c r="Z7" t="s">
        <v>48</v>
      </c>
      <c r="AA7" s="3">
        <v>235.46</v>
      </c>
      <c r="AE7" s="7">
        <f>AVERAGE(Supply_Chain_Table[Corrected Defect Rates])</f>
        <v>2.5013042499810331E-2</v>
      </c>
    </row>
    <row r="8" spans="1:31" x14ac:dyDescent="0.25">
      <c r="A8" t="s">
        <v>155</v>
      </c>
      <c r="B8" t="s">
        <v>54</v>
      </c>
      <c r="C8" s="3">
        <v>4.08</v>
      </c>
      <c r="D8" s="5">
        <v>48</v>
      </c>
      <c r="E8" s="5">
        <v>65</v>
      </c>
      <c r="F8" s="3">
        <v>7823.48</v>
      </c>
      <c r="G8" t="s">
        <v>55</v>
      </c>
      <c r="H8" s="5">
        <v>11</v>
      </c>
      <c r="I8" s="5">
        <v>15</v>
      </c>
      <c r="J8" s="5" t="str">
        <f t="shared" si="0"/>
        <v>Slow</v>
      </c>
      <c r="K8" s="5">
        <v>58</v>
      </c>
      <c r="L8" s="5" t="str">
        <f t="shared" si="1"/>
        <v>Medium</v>
      </c>
      <c r="M8" s="5">
        <v>8</v>
      </c>
      <c r="N8" t="s">
        <v>43</v>
      </c>
      <c r="O8" s="3">
        <v>3.88</v>
      </c>
      <c r="P8" t="s">
        <v>28</v>
      </c>
      <c r="Q8" t="s">
        <v>45</v>
      </c>
      <c r="R8" s="5">
        <v>14</v>
      </c>
      <c r="S8" s="5">
        <v>314</v>
      </c>
      <c r="T8" s="5">
        <v>24</v>
      </c>
      <c r="U8" s="3">
        <v>1.0900000000000001</v>
      </c>
      <c r="V8" t="s">
        <v>30</v>
      </c>
      <c r="W8" s="7">
        <v>1.0009106193041299</v>
      </c>
      <c r="X8" s="7">
        <f>Supply_Chain_Table[[#This Row],[Defect Rates]]/100</f>
        <v>1.00091061930413E-2</v>
      </c>
      <c r="Y8" t="s">
        <v>56</v>
      </c>
      <c r="Z8" t="s">
        <v>48</v>
      </c>
      <c r="AA8" s="3">
        <v>134.37</v>
      </c>
    </row>
    <row r="9" spans="1:31" x14ac:dyDescent="0.25">
      <c r="A9" t="s">
        <v>156</v>
      </c>
      <c r="B9" t="s">
        <v>58</v>
      </c>
      <c r="C9" s="3">
        <v>42.96</v>
      </c>
      <c r="D9" s="5">
        <v>59</v>
      </c>
      <c r="E9" s="5">
        <v>426</v>
      </c>
      <c r="F9" s="3">
        <v>8496.1</v>
      </c>
      <c r="G9" t="s">
        <v>35</v>
      </c>
      <c r="H9" s="5">
        <v>93</v>
      </c>
      <c r="I9" s="5">
        <v>17</v>
      </c>
      <c r="J9" s="5" t="str">
        <f t="shared" si="0"/>
        <v>Slow</v>
      </c>
      <c r="K9" s="5">
        <v>11</v>
      </c>
      <c r="L9" s="5" t="str">
        <f t="shared" si="1"/>
        <v>Small</v>
      </c>
      <c r="M9" s="5">
        <v>1</v>
      </c>
      <c r="N9" t="s">
        <v>27</v>
      </c>
      <c r="O9" s="3">
        <v>2.35</v>
      </c>
      <c r="P9" t="s">
        <v>52</v>
      </c>
      <c r="Q9" t="s">
        <v>53</v>
      </c>
      <c r="R9" s="5">
        <v>22</v>
      </c>
      <c r="S9" s="5">
        <v>564</v>
      </c>
      <c r="T9" s="5">
        <v>1</v>
      </c>
      <c r="U9" s="3">
        <v>99.47</v>
      </c>
      <c r="V9" t="s">
        <v>46</v>
      </c>
      <c r="W9" s="7">
        <v>0.39817718685065001</v>
      </c>
      <c r="X9" s="7">
        <f>Supply_Chain_Table[[#This Row],[Defect Rates]]/100</f>
        <v>3.9817718685065005E-3</v>
      </c>
      <c r="Y9" t="s">
        <v>31</v>
      </c>
      <c r="Z9" t="s">
        <v>41</v>
      </c>
      <c r="AA9" s="3">
        <v>802.06</v>
      </c>
    </row>
    <row r="10" spans="1:31" x14ac:dyDescent="0.25">
      <c r="A10" t="s">
        <v>156</v>
      </c>
      <c r="B10" t="s">
        <v>59</v>
      </c>
      <c r="C10" s="3">
        <v>68.72</v>
      </c>
      <c r="D10" s="5">
        <v>78</v>
      </c>
      <c r="E10" s="5">
        <v>150</v>
      </c>
      <c r="F10" s="3">
        <v>7517.36</v>
      </c>
      <c r="G10" t="s">
        <v>35</v>
      </c>
      <c r="H10" s="5">
        <v>5</v>
      </c>
      <c r="I10" s="5">
        <v>10</v>
      </c>
      <c r="J10" s="5" t="str">
        <f t="shared" si="0"/>
        <v>Moderate</v>
      </c>
      <c r="K10" s="5">
        <v>15</v>
      </c>
      <c r="L10" s="5" t="str">
        <f t="shared" si="1"/>
        <v>Small</v>
      </c>
      <c r="M10" s="5">
        <v>7</v>
      </c>
      <c r="N10" t="s">
        <v>43</v>
      </c>
      <c r="O10" s="3">
        <v>3.4</v>
      </c>
      <c r="P10" t="s">
        <v>52</v>
      </c>
      <c r="Q10" t="s">
        <v>29</v>
      </c>
      <c r="R10" s="5">
        <v>13</v>
      </c>
      <c r="S10" s="5">
        <v>769</v>
      </c>
      <c r="T10" s="5">
        <v>8</v>
      </c>
      <c r="U10" s="3">
        <v>11.42</v>
      </c>
      <c r="V10" t="s">
        <v>30</v>
      </c>
      <c r="W10" s="7">
        <v>2.7098626911099601</v>
      </c>
      <c r="X10" s="7">
        <f>Supply_Chain_Table[[#This Row],[Defect Rates]]/100</f>
        <v>2.7098626911099603E-2</v>
      </c>
      <c r="Y10" t="s">
        <v>56</v>
      </c>
      <c r="Z10" t="s">
        <v>32</v>
      </c>
      <c r="AA10" s="3">
        <v>505.56</v>
      </c>
    </row>
    <row r="11" spans="1:31" x14ac:dyDescent="0.25">
      <c r="A11" t="s">
        <v>155</v>
      </c>
      <c r="B11" t="s">
        <v>60</v>
      </c>
      <c r="C11" s="3">
        <v>64.02</v>
      </c>
      <c r="D11" s="5">
        <v>35</v>
      </c>
      <c r="E11" s="5">
        <v>980</v>
      </c>
      <c r="F11" s="3">
        <v>4971.1499999999996</v>
      </c>
      <c r="G11" t="s">
        <v>38</v>
      </c>
      <c r="H11" s="5">
        <v>14</v>
      </c>
      <c r="I11" s="5">
        <v>27</v>
      </c>
      <c r="J11" s="5" t="str">
        <f t="shared" si="0"/>
        <v>Slow</v>
      </c>
      <c r="K11" s="5">
        <v>83</v>
      </c>
      <c r="L11" s="5" t="str">
        <f t="shared" si="1"/>
        <v>Large</v>
      </c>
      <c r="M11" s="5">
        <v>1</v>
      </c>
      <c r="N11" t="s">
        <v>36</v>
      </c>
      <c r="O11" s="3">
        <v>7.17</v>
      </c>
      <c r="P11" t="s">
        <v>61</v>
      </c>
      <c r="Q11" t="s">
        <v>62</v>
      </c>
      <c r="R11" s="5">
        <v>29</v>
      </c>
      <c r="S11" s="5">
        <v>963</v>
      </c>
      <c r="T11" s="5">
        <v>23</v>
      </c>
      <c r="U11" s="3">
        <v>47.96</v>
      </c>
      <c r="V11" t="s">
        <v>30</v>
      </c>
      <c r="W11" s="7">
        <v>3.8446144787675798</v>
      </c>
      <c r="X11" s="7">
        <f>Supply_Chain_Table[[#This Row],[Defect Rates]]/100</f>
        <v>3.8446144787675801E-2</v>
      </c>
      <c r="Y11" t="s">
        <v>47</v>
      </c>
      <c r="Z11" t="s">
        <v>32</v>
      </c>
      <c r="AA11" s="3">
        <v>995.93</v>
      </c>
    </row>
    <row r="12" spans="1:31" x14ac:dyDescent="0.25">
      <c r="A12" t="s">
        <v>155</v>
      </c>
      <c r="B12" t="s">
        <v>63</v>
      </c>
      <c r="C12" s="3">
        <v>15.71</v>
      </c>
      <c r="D12" s="5">
        <v>11</v>
      </c>
      <c r="E12" s="5">
        <v>996</v>
      </c>
      <c r="F12" s="3">
        <v>2330.9699999999998</v>
      </c>
      <c r="G12" t="s">
        <v>158</v>
      </c>
      <c r="H12" s="5">
        <v>51</v>
      </c>
      <c r="I12" s="5">
        <v>13</v>
      </c>
      <c r="J12" s="5" t="str">
        <f t="shared" si="0"/>
        <v>Moderate</v>
      </c>
      <c r="K12" s="5">
        <v>80</v>
      </c>
      <c r="L12" s="5" t="str">
        <f t="shared" si="1"/>
        <v>Large</v>
      </c>
      <c r="M12" s="5">
        <v>2</v>
      </c>
      <c r="N12" t="s">
        <v>43</v>
      </c>
      <c r="O12" s="3">
        <v>8.67</v>
      </c>
      <c r="P12" t="s">
        <v>44</v>
      </c>
      <c r="Q12" t="s">
        <v>45</v>
      </c>
      <c r="R12" s="5">
        <v>18</v>
      </c>
      <c r="S12" s="5">
        <v>830</v>
      </c>
      <c r="T12" s="5">
        <v>5</v>
      </c>
      <c r="U12" s="3">
        <v>96.53</v>
      </c>
      <c r="V12" t="s">
        <v>64</v>
      </c>
      <c r="W12" s="7">
        <v>1.72731392835594</v>
      </c>
      <c r="X12" s="7">
        <f>Supply_Chain_Table[[#This Row],[Defect Rates]]/100</f>
        <v>1.7273139283559402E-2</v>
      </c>
      <c r="Y12" t="s">
        <v>31</v>
      </c>
      <c r="Z12" t="s">
        <v>32</v>
      </c>
      <c r="AA12" s="3">
        <v>806.1</v>
      </c>
    </row>
    <row r="13" spans="1:31" x14ac:dyDescent="0.25">
      <c r="A13" t="s">
        <v>155</v>
      </c>
      <c r="B13" t="s">
        <v>65</v>
      </c>
      <c r="C13" s="3">
        <v>90.64</v>
      </c>
      <c r="D13" s="5">
        <v>95</v>
      </c>
      <c r="E13" s="5">
        <v>960</v>
      </c>
      <c r="F13" s="3">
        <v>6099.94</v>
      </c>
      <c r="G13" t="s">
        <v>35</v>
      </c>
      <c r="H13" s="5">
        <v>46</v>
      </c>
      <c r="I13" s="5">
        <v>23</v>
      </c>
      <c r="J13" s="5" t="str">
        <f t="shared" si="0"/>
        <v>Slow</v>
      </c>
      <c r="K13" s="5">
        <v>60</v>
      </c>
      <c r="L13" s="5" t="str">
        <f t="shared" si="1"/>
        <v>Medium</v>
      </c>
      <c r="M13" s="5">
        <v>1</v>
      </c>
      <c r="N13" t="s">
        <v>36</v>
      </c>
      <c r="O13" s="3">
        <v>4.5199999999999996</v>
      </c>
      <c r="P13" t="s">
        <v>61</v>
      </c>
      <c r="Q13" t="s">
        <v>45</v>
      </c>
      <c r="R13" s="5">
        <v>28</v>
      </c>
      <c r="S13" s="5">
        <v>362</v>
      </c>
      <c r="T13" s="5">
        <v>11</v>
      </c>
      <c r="U13" s="3">
        <v>27.59</v>
      </c>
      <c r="V13" t="s">
        <v>30</v>
      </c>
      <c r="W13" s="7">
        <v>2.1169821372994301E-2</v>
      </c>
      <c r="X13" s="7">
        <f>Supply_Chain_Table[[#This Row],[Defect Rates]]/100</f>
        <v>2.11698213729943E-4</v>
      </c>
      <c r="Y13" t="s">
        <v>40</v>
      </c>
      <c r="Z13" t="s">
        <v>48</v>
      </c>
      <c r="AA13" s="3">
        <v>126.72</v>
      </c>
    </row>
    <row r="14" spans="1:31" x14ac:dyDescent="0.25">
      <c r="A14" t="s">
        <v>154</v>
      </c>
      <c r="B14" t="s">
        <v>66</v>
      </c>
      <c r="C14" s="3">
        <v>71.209999999999994</v>
      </c>
      <c r="D14" s="5">
        <v>41</v>
      </c>
      <c r="E14" s="5">
        <v>336</v>
      </c>
      <c r="F14" s="3">
        <v>2873.74</v>
      </c>
      <c r="G14" t="s">
        <v>38</v>
      </c>
      <c r="H14" s="5">
        <v>100</v>
      </c>
      <c r="I14" s="5">
        <v>30</v>
      </c>
      <c r="J14" s="5" t="str">
        <f t="shared" si="0"/>
        <v>Slow</v>
      </c>
      <c r="K14" s="5">
        <v>85</v>
      </c>
      <c r="L14" s="5" t="str">
        <f t="shared" si="1"/>
        <v>Large</v>
      </c>
      <c r="M14" s="5">
        <v>4</v>
      </c>
      <c r="N14" t="s">
        <v>36</v>
      </c>
      <c r="O14" s="3">
        <v>1.33</v>
      </c>
      <c r="P14" t="s">
        <v>52</v>
      </c>
      <c r="Q14" t="s">
        <v>45</v>
      </c>
      <c r="R14" s="5">
        <v>3</v>
      </c>
      <c r="S14" s="5">
        <v>563</v>
      </c>
      <c r="T14" s="5">
        <v>3</v>
      </c>
      <c r="U14" s="3">
        <v>32.32</v>
      </c>
      <c r="V14" t="s">
        <v>46</v>
      </c>
      <c r="W14" s="7">
        <v>2.1612537475559099</v>
      </c>
      <c r="X14" s="7">
        <f>Supply_Chain_Table[[#This Row],[Defect Rates]]/100</f>
        <v>2.16125374755591E-2</v>
      </c>
      <c r="Y14" t="s">
        <v>31</v>
      </c>
      <c r="Z14" t="s">
        <v>32</v>
      </c>
      <c r="AA14" s="3">
        <v>402.97</v>
      </c>
    </row>
    <row r="15" spans="1:31" x14ac:dyDescent="0.25">
      <c r="A15" t="s">
        <v>155</v>
      </c>
      <c r="B15" t="s">
        <v>67</v>
      </c>
      <c r="C15" s="3">
        <v>16.16</v>
      </c>
      <c r="D15" s="5">
        <v>5</v>
      </c>
      <c r="E15" s="5">
        <v>249</v>
      </c>
      <c r="F15" s="3">
        <v>4052.74</v>
      </c>
      <c r="G15" t="s">
        <v>55</v>
      </c>
      <c r="H15" s="5">
        <v>80</v>
      </c>
      <c r="I15" s="5">
        <v>8</v>
      </c>
      <c r="J15" s="5" t="str">
        <f t="shared" si="0"/>
        <v>Moderate</v>
      </c>
      <c r="K15" s="5">
        <v>48</v>
      </c>
      <c r="L15" s="5" t="str">
        <f t="shared" si="1"/>
        <v>Medium</v>
      </c>
      <c r="M15" s="5">
        <v>9</v>
      </c>
      <c r="N15" t="s">
        <v>36</v>
      </c>
      <c r="O15" s="3">
        <v>9.5399999999999991</v>
      </c>
      <c r="P15" t="s">
        <v>44</v>
      </c>
      <c r="Q15" t="s">
        <v>53</v>
      </c>
      <c r="R15" s="5">
        <v>23</v>
      </c>
      <c r="S15" s="5">
        <v>173</v>
      </c>
      <c r="T15" s="5">
        <v>10</v>
      </c>
      <c r="U15" s="3">
        <v>97.83</v>
      </c>
      <c r="V15" t="s">
        <v>30</v>
      </c>
      <c r="W15" s="7">
        <v>1.63107423007153</v>
      </c>
      <c r="X15" s="7">
        <f>Supply_Chain_Table[[#This Row],[Defect Rates]]/100</f>
        <v>1.6310742300715299E-2</v>
      </c>
      <c r="Y15" t="s">
        <v>31</v>
      </c>
      <c r="Z15" t="s">
        <v>32</v>
      </c>
      <c r="AA15" s="3">
        <v>547.24</v>
      </c>
    </row>
    <row r="16" spans="1:31" x14ac:dyDescent="0.25">
      <c r="A16" t="s">
        <v>155</v>
      </c>
      <c r="B16" t="s">
        <v>68</v>
      </c>
      <c r="C16" s="3">
        <v>99.17</v>
      </c>
      <c r="D16" s="5">
        <v>26</v>
      </c>
      <c r="E16" s="5">
        <v>562</v>
      </c>
      <c r="F16" s="3">
        <v>8653.57</v>
      </c>
      <c r="G16" t="s">
        <v>158</v>
      </c>
      <c r="H16" s="5">
        <v>54</v>
      </c>
      <c r="I16" s="5">
        <v>29</v>
      </c>
      <c r="J16" s="5" t="str">
        <f t="shared" si="0"/>
        <v>Slow</v>
      </c>
      <c r="K16" s="5">
        <v>78</v>
      </c>
      <c r="L16" s="5" t="str">
        <f t="shared" si="1"/>
        <v>Large</v>
      </c>
      <c r="M16" s="5">
        <v>5</v>
      </c>
      <c r="N16" t="s">
        <v>27</v>
      </c>
      <c r="O16" s="3">
        <v>2.04</v>
      </c>
      <c r="P16" t="s">
        <v>39</v>
      </c>
      <c r="Q16" t="s">
        <v>45</v>
      </c>
      <c r="R16" s="5">
        <v>25</v>
      </c>
      <c r="S16" s="5">
        <v>558</v>
      </c>
      <c r="T16" s="5">
        <v>14</v>
      </c>
      <c r="U16" s="3">
        <v>5.79</v>
      </c>
      <c r="V16" t="s">
        <v>30</v>
      </c>
      <c r="W16" s="7">
        <v>0.100682851565093</v>
      </c>
      <c r="X16" s="7">
        <f>Supply_Chain_Table[[#This Row],[Defect Rates]]/100</f>
        <v>1.0068285156509301E-3</v>
      </c>
      <c r="Y16" t="s">
        <v>40</v>
      </c>
      <c r="Z16" t="s">
        <v>32</v>
      </c>
      <c r="AA16" s="3">
        <v>929.24</v>
      </c>
    </row>
    <row r="17" spans="1:27" x14ac:dyDescent="0.25">
      <c r="A17" t="s">
        <v>155</v>
      </c>
      <c r="B17" t="s">
        <v>69</v>
      </c>
      <c r="C17" s="3">
        <v>36.99</v>
      </c>
      <c r="D17" s="5">
        <v>94</v>
      </c>
      <c r="E17" s="5">
        <v>469</v>
      </c>
      <c r="F17" s="3">
        <v>5442.09</v>
      </c>
      <c r="G17" t="s">
        <v>158</v>
      </c>
      <c r="H17" s="5">
        <v>9</v>
      </c>
      <c r="I17" s="5">
        <v>8</v>
      </c>
      <c r="J17" s="5" t="str">
        <f t="shared" si="0"/>
        <v>Moderate</v>
      </c>
      <c r="K17" s="5">
        <v>69</v>
      </c>
      <c r="L17" s="5" t="str">
        <f t="shared" si="1"/>
        <v>Large</v>
      </c>
      <c r="M17" s="5">
        <v>7</v>
      </c>
      <c r="N17" t="s">
        <v>27</v>
      </c>
      <c r="O17" s="3">
        <v>2.42</v>
      </c>
      <c r="P17" t="s">
        <v>39</v>
      </c>
      <c r="Q17" t="s">
        <v>53</v>
      </c>
      <c r="R17" s="5">
        <v>14</v>
      </c>
      <c r="S17" s="5">
        <v>580</v>
      </c>
      <c r="T17" s="5">
        <v>7</v>
      </c>
      <c r="U17" s="3">
        <v>97.12</v>
      </c>
      <c r="V17" t="s">
        <v>64</v>
      </c>
      <c r="W17" s="7">
        <v>2.2644057611985402</v>
      </c>
      <c r="X17" s="7">
        <f>Supply_Chain_Table[[#This Row],[Defect Rates]]/100</f>
        <v>2.2644057611985402E-2</v>
      </c>
      <c r="Y17" t="s">
        <v>56</v>
      </c>
      <c r="Z17" t="s">
        <v>32</v>
      </c>
      <c r="AA17" s="3">
        <v>127.86</v>
      </c>
    </row>
    <row r="18" spans="1:27" x14ac:dyDescent="0.25">
      <c r="A18" t="s">
        <v>155</v>
      </c>
      <c r="B18" t="s">
        <v>70</v>
      </c>
      <c r="C18" s="3">
        <v>7.55</v>
      </c>
      <c r="D18" s="5">
        <v>74</v>
      </c>
      <c r="E18" s="5">
        <v>280</v>
      </c>
      <c r="F18" s="3">
        <v>6453.8</v>
      </c>
      <c r="G18" t="s">
        <v>35</v>
      </c>
      <c r="H18" s="5">
        <v>2</v>
      </c>
      <c r="I18" s="5">
        <v>5</v>
      </c>
      <c r="J18" s="5" t="str">
        <f t="shared" si="0"/>
        <v>Fast</v>
      </c>
      <c r="K18" s="5">
        <v>78</v>
      </c>
      <c r="L18" s="5" t="str">
        <f t="shared" si="1"/>
        <v>Large</v>
      </c>
      <c r="M18" s="5">
        <v>1</v>
      </c>
      <c r="N18" t="s">
        <v>27</v>
      </c>
      <c r="O18" s="3">
        <v>4.1900000000000004</v>
      </c>
      <c r="P18" t="s">
        <v>39</v>
      </c>
      <c r="Q18" t="s">
        <v>53</v>
      </c>
      <c r="R18" s="5">
        <v>3</v>
      </c>
      <c r="S18" s="5">
        <v>399</v>
      </c>
      <c r="T18" s="5">
        <v>21</v>
      </c>
      <c r="U18" s="3">
        <v>77.11</v>
      </c>
      <c r="V18" t="s">
        <v>64</v>
      </c>
      <c r="W18" s="7">
        <v>1.01256308925804</v>
      </c>
      <c r="X18" s="7">
        <f>Supply_Chain_Table[[#This Row],[Defect Rates]]/100</f>
        <v>1.01256308925804E-2</v>
      </c>
      <c r="Y18" t="s">
        <v>40</v>
      </c>
      <c r="Z18" t="s">
        <v>48</v>
      </c>
      <c r="AA18" s="3">
        <v>865.53</v>
      </c>
    </row>
    <row r="19" spans="1:27" x14ac:dyDescent="0.25">
      <c r="A19" t="s">
        <v>156</v>
      </c>
      <c r="B19" t="s">
        <v>71</v>
      </c>
      <c r="C19" s="3">
        <v>81.459999999999994</v>
      </c>
      <c r="D19" s="5">
        <v>82</v>
      </c>
      <c r="E19" s="5">
        <v>126</v>
      </c>
      <c r="F19" s="3">
        <v>2629.4</v>
      </c>
      <c r="G19" t="s">
        <v>35</v>
      </c>
      <c r="H19" s="5">
        <v>45</v>
      </c>
      <c r="I19" s="5">
        <v>17</v>
      </c>
      <c r="J19" s="5" t="str">
        <f t="shared" si="0"/>
        <v>Slow</v>
      </c>
      <c r="K19" s="5">
        <v>85</v>
      </c>
      <c r="L19" s="5" t="str">
        <f t="shared" si="1"/>
        <v>Large</v>
      </c>
      <c r="M19" s="5">
        <v>9</v>
      </c>
      <c r="N19" t="s">
        <v>43</v>
      </c>
      <c r="O19" s="3">
        <v>3.59</v>
      </c>
      <c r="P19" t="s">
        <v>39</v>
      </c>
      <c r="Q19" t="s">
        <v>62</v>
      </c>
      <c r="R19" s="5">
        <v>7</v>
      </c>
      <c r="S19" s="5">
        <v>453</v>
      </c>
      <c r="T19" s="5">
        <v>16</v>
      </c>
      <c r="U19" s="3">
        <v>47.68</v>
      </c>
      <c r="V19" t="s">
        <v>46</v>
      </c>
      <c r="W19" s="7">
        <v>0.102020754918176</v>
      </c>
      <c r="X19" s="7">
        <f>Supply_Chain_Table[[#This Row],[Defect Rates]]/100</f>
        <v>1.0202075491817599E-3</v>
      </c>
      <c r="Y19" t="s">
        <v>40</v>
      </c>
      <c r="Z19" t="s">
        <v>41</v>
      </c>
      <c r="AA19" s="3">
        <v>670.93</v>
      </c>
    </row>
    <row r="20" spans="1:27" x14ac:dyDescent="0.25">
      <c r="A20" t="s">
        <v>154</v>
      </c>
      <c r="B20" t="s">
        <v>72</v>
      </c>
      <c r="C20" s="3">
        <v>36.44</v>
      </c>
      <c r="D20" s="5">
        <v>23</v>
      </c>
      <c r="E20" s="5">
        <v>620</v>
      </c>
      <c r="F20" s="3">
        <v>9364.67</v>
      </c>
      <c r="G20" t="s">
        <v>38</v>
      </c>
      <c r="H20" s="5">
        <v>10</v>
      </c>
      <c r="I20" s="5">
        <v>10</v>
      </c>
      <c r="J20" s="5" t="str">
        <f t="shared" si="0"/>
        <v>Moderate</v>
      </c>
      <c r="K20" s="5">
        <v>46</v>
      </c>
      <c r="L20" s="5" t="str">
        <f t="shared" si="1"/>
        <v>Medium</v>
      </c>
      <c r="M20" s="5">
        <v>8</v>
      </c>
      <c r="N20" t="s">
        <v>43</v>
      </c>
      <c r="O20" s="3">
        <v>4.34</v>
      </c>
      <c r="P20" t="s">
        <v>61</v>
      </c>
      <c r="Q20" t="s">
        <v>45</v>
      </c>
      <c r="R20" s="5">
        <v>18</v>
      </c>
      <c r="S20" s="5">
        <v>374</v>
      </c>
      <c r="T20" s="5">
        <v>17</v>
      </c>
      <c r="U20" s="3">
        <v>27.11</v>
      </c>
      <c r="V20" t="s">
        <v>30</v>
      </c>
      <c r="W20" s="7">
        <v>2.2319391107292601</v>
      </c>
      <c r="X20" s="7">
        <f>Supply_Chain_Table[[#This Row],[Defect Rates]]/100</f>
        <v>2.2319391107292599E-2</v>
      </c>
      <c r="Y20" t="s">
        <v>56</v>
      </c>
      <c r="Z20" t="s">
        <v>48</v>
      </c>
      <c r="AA20" s="3">
        <v>593.48</v>
      </c>
    </row>
    <row r="21" spans="1:27" x14ac:dyDescent="0.25">
      <c r="A21" t="s">
        <v>155</v>
      </c>
      <c r="B21" t="s">
        <v>73</v>
      </c>
      <c r="C21" s="3">
        <v>51.12</v>
      </c>
      <c r="D21" s="5">
        <v>100</v>
      </c>
      <c r="E21" s="5">
        <v>187</v>
      </c>
      <c r="F21" s="3">
        <v>2553.5</v>
      </c>
      <c r="G21" t="s">
        <v>38</v>
      </c>
      <c r="H21" s="5">
        <v>48</v>
      </c>
      <c r="I21" s="5">
        <v>11</v>
      </c>
      <c r="J21" s="5" t="str">
        <f t="shared" si="0"/>
        <v>Moderate</v>
      </c>
      <c r="K21" s="5">
        <v>94</v>
      </c>
      <c r="L21" s="5" t="str">
        <f t="shared" si="1"/>
        <v>Large</v>
      </c>
      <c r="M21" s="5">
        <v>3</v>
      </c>
      <c r="N21" t="s">
        <v>36</v>
      </c>
      <c r="O21" s="3">
        <v>4.74</v>
      </c>
      <c r="P21" t="s">
        <v>52</v>
      </c>
      <c r="Q21" t="s">
        <v>62</v>
      </c>
      <c r="R21" s="5">
        <v>20</v>
      </c>
      <c r="S21" s="5">
        <v>694</v>
      </c>
      <c r="T21" s="5">
        <v>16</v>
      </c>
      <c r="U21" s="3">
        <v>82.37</v>
      </c>
      <c r="V21" t="s">
        <v>46</v>
      </c>
      <c r="W21" s="7">
        <v>3.64645086541702</v>
      </c>
      <c r="X21" s="7">
        <f>Supply_Chain_Table[[#This Row],[Defect Rates]]/100</f>
        <v>3.6464508654170197E-2</v>
      </c>
      <c r="Y21" t="s">
        <v>31</v>
      </c>
      <c r="Z21" t="s">
        <v>41</v>
      </c>
      <c r="AA21" s="3">
        <v>477.31</v>
      </c>
    </row>
    <row r="22" spans="1:27" x14ac:dyDescent="0.25">
      <c r="A22" t="s">
        <v>155</v>
      </c>
      <c r="B22" t="s">
        <v>74</v>
      </c>
      <c r="C22" s="3">
        <v>96.34</v>
      </c>
      <c r="D22" s="5">
        <v>22</v>
      </c>
      <c r="E22" s="5">
        <v>320</v>
      </c>
      <c r="F22" s="3">
        <v>8128.03</v>
      </c>
      <c r="G22" t="s">
        <v>38</v>
      </c>
      <c r="H22" s="5">
        <v>27</v>
      </c>
      <c r="I22" s="5">
        <v>12</v>
      </c>
      <c r="J22" s="5" t="str">
        <f t="shared" si="0"/>
        <v>Moderate</v>
      </c>
      <c r="K22" s="5">
        <v>68</v>
      </c>
      <c r="L22" s="5" t="str">
        <f t="shared" si="1"/>
        <v>Large</v>
      </c>
      <c r="M22" s="5">
        <v>6</v>
      </c>
      <c r="N22" t="s">
        <v>36</v>
      </c>
      <c r="O22" s="3">
        <v>8.8800000000000008</v>
      </c>
      <c r="P22" t="s">
        <v>39</v>
      </c>
      <c r="Q22" t="s">
        <v>62</v>
      </c>
      <c r="R22" s="5">
        <v>29</v>
      </c>
      <c r="S22" s="5">
        <v>309</v>
      </c>
      <c r="T22" s="5">
        <v>6</v>
      </c>
      <c r="U22" s="3">
        <v>65.69</v>
      </c>
      <c r="V22" t="s">
        <v>64</v>
      </c>
      <c r="W22" s="7">
        <v>4.2314165735345304</v>
      </c>
      <c r="X22" s="7">
        <f>Supply_Chain_Table[[#This Row],[Defect Rates]]/100</f>
        <v>4.2314165735345306E-2</v>
      </c>
      <c r="Y22" t="s">
        <v>40</v>
      </c>
      <c r="Z22" t="s">
        <v>32</v>
      </c>
      <c r="AA22" s="3">
        <v>493.87</v>
      </c>
    </row>
    <row r="23" spans="1:27" x14ac:dyDescent="0.25">
      <c r="A23" t="s">
        <v>156</v>
      </c>
      <c r="B23" t="s">
        <v>75</v>
      </c>
      <c r="C23" s="3">
        <v>84.89</v>
      </c>
      <c r="D23" s="5">
        <v>60</v>
      </c>
      <c r="E23" s="5">
        <v>601</v>
      </c>
      <c r="F23" s="3">
        <v>7087.05</v>
      </c>
      <c r="G23" t="s">
        <v>38</v>
      </c>
      <c r="H23" s="5">
        <v>69</v>
      </c>
      <c r="I23" s="5">
        <v>25</v>
      </c>
      <c r="J23" s="5" t="str">
        <f t="shared" si="0"/>
        <v>Slow</v>
      </c>
      <c r="K23" s="5">
        <v>7</v>
      </c>
      <c r="L23" s="5" t="str">
        <f t="shared" si="1"/>
        <v>Small</v>
      </c>
      <c r="M23" s="5">
        <v>6</v>
      </c>
      <c r="N23" t="s">
        <v>27</v>
      </c>
      <c r="O23" s="3">
        <v>6.04</v>
      </c>
      <c r="P23" t="s">
        <v>44</v>
      </c>
      <c r="Q23" t="s">
        <v>62</v>
      </c>
      <c r="R23" s="5">
        <v>19</v>
      </c>
      <c r="S23" s="5">
        <v>791</v>
      </c>
      <c r="T23" s="5">
        <v>4</v>
      </c>
      <c r="U23" s="3">
        <v>61.74</v>
      </c>
      <c r="V23" t="s">
        <v>30</v>
      </c>
      <c r="W23" s="7">
        <v>1.8607567631014899E-2</v>
      </c>
      <c r="X23" s="7">
        <f>Supply_Chain_Table[[#This Row],[Defect Rates]]/100</f>
        <v>1.8607567631014898E-4</v>
      </c>
      <c r="Y23" t="s">
        <v>40</v>
      </c>
      <c r="Z23" t="s">
        <v>41</v>
      </c>
      <c r="AA23" s="3">
        <v>523.36</v>
      </c>
    </row>
    <row r="24" spans="1:27" x14ac:dyDescent="0.25">
      <c r="A24" t="s">
        <v>154</v>
      </c>
      <c r="B24" t="s">
        <v>76</v>
      </c>
      <c r="C24" s="3">
        <v>27.68</v>
      </c>
      <c r="D24" s="5">
        <v>55</v>
      </c>
      <c r="E24" s="5">
        <v>884</v>
      </c>
      <c r="F24" s="3">
        <v>2390.81</v>
      </c>
      <c r="G24" t="s">
        <v>38</v>
      </c>
      <c r="H24" s="5">
        <v>71</v>
      </c>
      <c r="I24" s="5">
        <v>1</v>
      </c>
      <c r="J24" s="5" t="str">
        <f t="shared" si="0"/>
        <v>Fast</v>
      </c>
      <c r="K24" s="5">
        <v>63</v>
      </c>
      <c r="L24" s="5" t="str">
        <f t="shared" si="1"/>
        <v>Large</v>
      </c>
      <c r="M24" s="5">
        <v>10</v>
      </c>
      <c r="N24" t="s">
        <v>36</v>
      </c>
      <c r="O24" s="3">
        <v>9.57</v>
      </c>
      <c r="P24" t="s">
        <v>52</v>
      </c>
      <c r="Q24" t="s">
        <v>45</v>
      </c>
      <c r="R24" s="5">
        <v>22</v>
      </c>
      <c r="S24" s="5">
        <v>780</v>
      </c>
      <c r="T24" s="5">
        <v>28</v>
      </c>
      <c r="U24" s="3">
        <v>50.12</v>
      </c>
      <c r="V24" t="s">
        <v>46</v>
      </c>
      <c r="W24" s="7">
        <v>2.5912754732111098</v>
      </c>
      <c r="X24" s="7">
        <f>Supply_Chain_Table[[#This Row],[Defect Rates]]/100</f>
        <v>2.5912754732111097E-2</v>
      </c>
      <c r="Y24" t="s">
        <v>47</v>
      </c>
      <c r="Z24" t="s">
        <v>41</v>
      </c>
      <c r="AA24" s="3">
        <v>205.57</v>
      </c>
    </row>
    <row r="25" spans="1:27" x14ac:dyDescent="0.25">
      <c r="A25" t="s">
        <v>156</v>
      </c>
      <c r="B25" t="s">
        <v>77</v>
      </c>
      <c r="C25" s="3">
        <v>4.32</v>
      </c>
      <c r="D25" s="5">
        <v>30</v>
      </c>
      <c r="E25" s="5">
        <v>391</v>
      </c>
      <c r="F25" s="3">
        <v>8858.3700000000008</v>
      </c>
      <c r="G25" t="s">
        <v>38</v>
      </c>
      <c r="H25" s="5">
        <v>84</v>
      </c>
      <c r="I25" s="5">
        <v>5</v>
      </c>
      <c r="J25" s="5" t="str">
        <f t="shared" si="0"/>
        <v>Fast</v>
      </c>
      <c r="K25" s="5">
        <v>29</v>
      </c>
      <c r="L25" s="5" t="str">
        <f t="shared" si="1"/>
        <v>Medium</v>
      </c>
      <c r="M25" s="5">
        <v>7</v>
      </c>
      <c r="N25" t="s">
        <v>36</v>
      </c>
      <c r="O25" s="3">
        <v>2.92</v>
      </c>
      <c r="P25" t="s">
        <v>44</v>
      </c>
      <c r="Q25" t="s">
        <v>45</v>
      </c>
      <c r="R25" s="5">
        <v>11</v>
      </c>
      <c r="S25" s="5">
        <v>568</v>
      </c>
      <c r="T25" s="5">
        <v>29</v>
      </c>
      <c r="U25" s="3">
        <v>98.61</v>
      </c>
      <c r="V25" t="s">
        <v>30</v>
      </c>
      <c r="W25" s="7">
        <v>1.3422915627227301</v>
      </c>
      <c r="X25" s="7">
        <f>Supply_Chain_Table[[#This Row],[Defect Rates]]/100</f>
        <v>1.34229156272273E-2</v>
      </c>
      <c r="Y25" t="s">
        <v>47</v>
      </c>
      <c r="Z25" t="s">
        <v>48</v>
      </c>
      <c r="AA25" s="3">
        <v>196.33</v>
      </c>
    </row>
    <row r="26" spans="1:27" x14ac:dyDescent="0.25">
      <c r="A26" t="s">
        <v>154</v>
      </c>
      <c r="B26" t="s">
        <v>78</v>
      </c>
      <c r="C26" s="3">
        <v>4.16</v>
      </c>
      <c r="D26" s="5">
        <v>32</v>
      </c>
      <c r="E26" s="5">
        <v>209</v>
      </c>
      <c r="F26" s="3">
        <v>9049.08</v>
      </c>
      <c r="G26" t="s">
        <v>55</v>
      </c>
      <c r="H26" s="5">
        <v>4</v>
      </c>
      <c r="I26" s="5">
        <v>26</v>
      </c>
      <c r="J26" s="5" t="str">
        <f t="shared" si="0"/>
        <v>Slow</v>
      </c>
      <c r="K26" s="5">
        <v>2</v>
      </c>
      <c r="L26" s="5" t="str">
        <f t="shared" si="1"/>
        <v>Small</v>
      </c>
      <c r="M26" s="5">
        <v>8</v>
      </c>
      <c r="N26" t="s">
        <v>43</v>
      </c>
      <c r="O26" s="3">
        <v>9.74</v>
      </c>
      <c r="P26" t="s">
        <v>61</v>
      </c>
      <c r="Q26" t="s">
        <v>53</v>
      </c>
      <c r="R26" s="5">
        <v>28</v>
      </c>
      <c r="S26" s="5">
        <v>447</v>
      </c>
      <c r="T26" s="5">
        <v>3</v>
      </c>
      <c r="U26" s="3">
        <v>40.380000000000003</v>
      </c>
      <c r="V26" t="s">
        <v>30</v>
      </c>
      <c r="W26" s="7">
        <v>3.69131029262872</v>
      </c>
      <c r="X26" s="7">
        <f>Supply_Chain_Table[[#This Row],[Defect Rates]]/100</f>
        <v>3.6913102926287203E-2</v>
      </c>
      <c r="Y26" t="s">
        <v>40</v>
      </c>
      <c r="Z26" t="s">
        <v>48</v>
      </c>
      <c r="AA26" s="3">
        <v>758.72</v>
      </c>
    </row>
    <row r="27" spans="1:27" x14ac:dyDescent="0.25">
      <c r="A27" t="s">
        <v>154</v>
      </c>
      <c r="B27" t="s">
        <v>79</v>
      </c>
      <c r="C27" s="3">
        <v>39.630000000000003</v>
      </c>
      <c r="D27" s="5">
        <v>73</v>
      </c>
      <c r="E27" s="5">
        <v>142</v>
      </c>
      <c r="F27" s="3">
        <v>2174.7800000000002</v>
      </c>
      <c r="G27" t="s">
        <v>55</v>
      </c>
      <c r="H27" s="5">
        <v>82</v>
      </c>
      <c r="I27" s="5">
        <v>11</v>
      </c>
      <c r="J27" s="5" t="str">
        <f t="shared" si="0"/>
        <v>Moderate</v>
      </c>
      <c r="K27" s="5">
        <v>52</v>
      </c>
      <c r="L27" s="5" t="str">
        <f t="shared" si="1"/>
        <v>Medium</v>
      </c>
      <c r="M27" s="5">
        <v>3</v>
      </c>
      <c r="N27" t="s">
        <v>43</v>
      </c>
      <c r="O27" s="3">
        <v>2.23</v>
      </c>
      <c r="P27" t="s">
        <v>52</v>
      </c>
      <c r="Q27" t="s">
        <v>45</v>
      </c>
      <c r="R27" s="5">
        <v>19</v>
      </c>
      <c r="S27" s="5">
        <v>934</v>
      </c>
      <c r="T27" s="5">
        <v>23</v>
      </c>
      <c r="U27" s="3">
        <v>78.28</v>
      </c>
      <c r="V27" t="s">
        <v>30</v>
      </c>
      <c r="W27" s="7">
        <v>3.79723121711418</v>
      </c>
      <c r="X27" s="7">
        <f>Supply_Chain_Table[[#This Row],[Defect Rates]]/100</f>
        <v>3.7972312171141803E-2</v>
      </c>
      <c r="Y27" t="s">
        <v>31</v>
      </c>
      <c r="Z27" t="s">
        <v>32</v>
      </c>
      <c r="AA27" s="3">
        <v>458.54</v>
      </c>
    </row>
    <row r="28" spans="1:27" x14ac:dyDescent="0.25">
      <c r="A28" t="s">
        <v>154</v>
      </c>
      <c r="B28" t="s">
        <v>80</v>
      </c>
      <c r="C28" s="3">
        <v>97.45</v>
      </c>
      <c r="D28" s="5">
        <v>9</v>
      </c>
      <c r="E28" s="5">
        <v>353</v>
      </c>
      <c r="F28" s="3">
        <v>3716.49</v>
      </c>
      <c r="G28" t="s">
        <v>55</v>
      </c>
      <c r="H28" s="5">
        <v>59</v>
      </c>
      <c r="I28" s="5">
        <v>16</v>
      </c>
      <c r="J28" s="5" t="str">
        <f t="shared" si="0"/>
        <v>Slow</v>
      </c>
      <c r="K28" s="5">
        <v>48</v>
      </c>
      <c r="L28" s="5" t="str">
        <f t="shared" si="1"/>
        <v>Medium</v>
      </c>
      <c r="M28" s="5">
        <v>4</v>
      </c>
      <c r="N28" t="s">
        <v>27</v>
      </c>
      <c r="O28" s="3">
        <v>6.51</v>
      </c>
      <c r="P28" t="s">
        <v>61</v>
      </c>
      <c r="Q28" t="s">
        <v>53</v>
      </c>
      <c r="R28" s="5">
        <v>26</v>
      </c>
      <c r="S28" s="5">
        <v>171</v>
      </c>
      <c r="T28" s="5">
        <v>4</v>
      </c>
      <c r="U28" s="3">
        <v>15.97</v>
      </c>
      <c r="V28" t="s">
        <v>64</v>
      </c>
      <c r="W28" s="7">
        <v>2.1193197367249201</v>
      </c>
      <c r="X28" s="7">
        <f>Supply_Chain_Table[[#This Row],[Defect Rates]]/100</f>
        <v>2.11931973672492E-2</v>
      </c>
      <c r="Y28" t="s">
        <v>47</v>
      </c>
      <c r="Z28" t="s">
        <v>48</v>
      </c>
      <c r="AA28" s="3">
        <v>617.87</v>
      </c>
    </row>
    <row r="29" spans="1:27" x14ac:dyDescent="0.25">
      <c r="A29" t="s">
        <v>156</v>
      </c>
      <c r="B29" t="s">
        <v>81</v>
      </c>
      <c r="C29" s="3">
        <v>92.56</v>
      </c>
      <c r="D29" s="5">
        <v>42</v>
      </c>
      <c r="E29" s="5">
        <v>352</v>
      </c>
      <c r="F29" s="3">
        <v>2686.46</v>
      </c>
      <c r="G29" t="s">
        <v>38</v>
      </c>
      <c r="H29" s="5">
        <v>47</v>
      </c>
      <c r="I29" s="5">
        <v>9</v>
      </c>
      <c r="J29" s="5" t="str">
        <f t="shared" si="0"/>
        <v>Moderate</v>
      </c>
      <c r="K29" s="5">
        <v>62</v>
      </c>
      <c r="L29" s="5" t="str">
        <f t="shared" si="1"/>
        <v>Large</v>
      </c>
      <c r="M29" s="5">
        <v>8</v>
      </c>
      <c r="N29" t="s">
        <v>43</v>
      </c>
      <c r="O29" s="3">
        <v>7.41</v>
      </c>
      <c r="P29" t="s">
        <v>44</v>
      </c>
      <c r="Q29" t="s">
        <v>29</v>
      </c>
      <c r="R29" s="5">
        <v>25</v>
      </c>
      <c r="S29" s="5">
        <v>291</v>
      </c>
      <c r="T29" s="5">
        <v>4</v>
      </c>
      <c r="U29" s="3">
        <v>10.53</v>
      </c>
      <c r="V29" t="s">
        <v>46</v>
      </c>
      <c r="W29" s="7">
        <v>2.8646678378833701</v>
      </c>
      <c r="X29" s="7">
        <f>Supply_Chain_Table[[#This Row],[Defect Rates]]/100</f>
        <v>2.8646678378833702E-2</v>
      </c>
      <c r="Y29" t="s">
        <v>56</v>
      </c>
      <c r="Z29" t="s">
        <v>32</v>
      </c>
      <c r="AA29" s="3">
        <v>762.46</v>
      </c>
    </row>
    <row r="30" spans="1:27" x14ac:dyDescent="0.25">
      <c r="A30" t="s">
        <v>156</v>
      </c>
      <c r="B30" t="s">
        <v>82</v>
      </c>
      <c r="C30" s="3">
        <v>2.4</v>
      </c>
      <c r="D30" s="5">
        <v>12</v>
      </c>
      <c r="E30" s="5">
        <v>394</v>
      </c>
      <c r="F30" s="3">
        <v>6117.32</v>
      </c>
      <c r="G30" t="s">
        <v>35</v>
      </c>
      <c r="H30" s="5">
        <v>48</v>
      </c>
      <c r="I30" s="5">
        <v>15</v>
      </c>
      <c r="J30" s="5" t="str">
        <f t="shared" si="0"/>
        <v>Slow</v>
      </c>
      <c r="K30" s="5">
        <v>24</v>
      </c>
      <c r="L30" s="5" t="str">
        <f t="shared" si="1"/>
        <v>Medium</v>
      </c>
      <c r="M30" s="5">
        <v>4</v>
      </c>
      <c r="N30" t="s">
        <v>27</v>
      </c>
      <c r="O30" s="3">
        <v>9.9</v>
      </c>
      <c r="P30" t="s">
        <v>39</v>
      </c>
      <c r="Q30" t="s">
        <v>29</v>
      </c>
      <c r="R30" s="5">
        <v>13</v>
      </c>
      <c r="S30" s="5">
        <v>171</v>
      </c>
      <c r="T30" s="5">
        <v>7</v>
      </c>
      <c r="U30" s="3">
        <v>59.43</v>
      </c>
      <c r="V30" t="s">
        <v>46</v>
      </c>
      <c r="W30" s="7">
        <v>0.81575707929567198</v>
      </c>
      <c r="X30" s="7">
        <f>Supply_Chain_Table[[#This Row],[Defect Rates]]/100</f>
        <v>8.1575707929567205E-3</v>
      </c>
      <c r="Y30" t="s">
        <v>40</v>
      </c>
      <c r="Z30" t="s">
        <v>48</v>
      </c>
      <c r="AA30" s="3">
        <v>123.44</v>
      </c>
    </row>
    <row r="31" spans="1:27" x14ac:dyDescent="0.25">
      <c r="A31" t="s">
        <v>156</v>
      </c>
      <c r="B31" t="s">
        <v>83</v>
      </c>
      <c r="C31" s="3">
        <v>63.45</v>
      </c>
      <c r="D31" s="5">
        <v>3</v>
      </c>
      <c r="E31" s="5">
        <v>253</v>
      </c>
      <c r="F31" s="3">
        <v>8318.9</v>
      </c>
      <c r="G31" t="s">
        <v>35</v>
      </c>
      <c r="H31" s="5">
        <v>45</v>
      </c>
      <c r="I31" s="5">
        <v>5</v>
      </c>
      <c r="J31" s="5" t="str">
        <f t="shared" si="0"/>
        <v>Fast</v>
      </c>
      <c r="K31" s="5">
        <v>67</v>
      </c>
      <c r="L31" s="5" t="str">
        <f t="shared" si="1"/>
        <v>Large</v>
      </c>
      <c r="M31" s="5">
        <v>7</v>
      </c>
      <c r="N31" t="s">
        <v>27</v>
      </c>
      <c r="O31" s="3">
        <v>8.1</v>
      </c>
      <c r="P31" t="s">
        <v>39</v>
      </c>
      <c r="Q31" t="s">
        <v>45</v>
      </c>
      <c r="R31" s="5">
        <v>16</v>
      </c>
      <c r="S31" s="5">
        <v>329</v>
      </c>
      <c r="T31" s="5">
        <v>7</v>
      </c>
      <c r="U31" s="3">
        <v>39.29</v>
      </c>
      <c r="V31" t="s">
        <v>64</v>
      </c>
      <c r="W31" s="7">
        <v>3.8780989365884802</v>
      </c>
      <c r="X31" s="7">
        <f>Supply_Chain_Table[[#This Row],[Defect Rates]]/100</f>
        <v>3.8780989365884803E-2</v>
      </c>
      <c r="Y31" t="s">
        <v>31</v>
      </c>
      <c r="Z31" t="s">
        <v>32</v>
      </c>
      <c r="AA31" s="3">
        <v>764.94</v>
      </c>
    </row>
    <row r="32" spans="1:27" x14ac:dyDescent="0.25">
      <c r="A32" t="s">
        <v>154</v>
      </c>
      <c r="B32" t="s">
        <v>84</v>
      </c>
      <c r="C32" s="3">
        <v>8.02</v>
      </c>
      <c r="D32" s="5">
        <v>10</v>
      </c>
      <c r="E32" s="5">
        <v>327</v>
      </c>
      <c r="F32" s="3">
        <v>2766.34</v>
      </c>
      <c r="G32" t="s">
        <v>55</v>
      </c>
      <c r="H32" s="5">
        <v>60</v>
      </c>
      <c r="I32" s="5">
        <v>26</v>
      </c>
      <c r="J32" s="5" t="str">
        <f t="shared" si="0"/>
        <v>Slow</v>
      </c>
      <c r="K32" s="5">
        <v>35</v>
      </c>
      <c r="L32" s="5" t="str">
        <f t="shared" si="1"/>
        <v>Medium</v>
      </c>
      <c r="M32" s="5">
        <v>7</v>
      </c>
      <c r="N32" t="s">
        <v>27</v>
      </c>
      <c r="O32" s="3">
        <v>8.9499999999999993</v>
      </c>
      <c r="P32" t="s">
        <v>52</v>
      </c>
      <c r="Q32" t="s">
        <v>45</v>
      </c>
      <c r="R32" s="5">
        <v>27</v>
      </c>
      <c r="S32" s="5">
        <v>806</v>
      </c>
      <c r="T32" s="5">
        <v>30</v>
      </c>
      <c r="U32" s="3">
        <v>51.63</v>
      </c>
      <c r="V32" t="s">
        <v>30</v>
      </c>
      <c r="W32" s="7">
        <v>0.96539470535239302</v>
      </c>
      <c r="X32" s="7">
        <f>Supply_Chain_Table[[#This Row],[Defect Rates]]/100</f>
        <v>9.6539470535239296E-3</v>
      </c>
      <c r="Y32" t="s">
        <v>31</v>
      </c>
      <c r="Z32" t="s">
        <v>41</v>
      </c>
      <c r="AA32" s="3">
        <v>880.08</v>
      </c>
    </row>
    <row r="33" spans="1:27" x14ac:dyDescent="0.25">
      <c r="A33" t="s">
        <v>155</v>
      </c>
      <c r="B33" t="s">
        <v>85</v>
      </c>
      <c r="C33" s="3">
        <v>50.85</v>
      </c>
      <c r="D33" s="5">
        <v>28</v>
      </c>
      <c r="E33" s="5">
        <v>168</v>
      </c>
      <c r="F33" s="3">
        <v>9655.14</v>
      </c>
      <c r="G33" t="s">
        <v>55</v>
      </c>
      <c r="H33" s="5">
        <v>6</v>
      </c>
      <c r="I33" s="5">
        <v>17</v>
      </c>
      <c r="J33" s="5" t="str">
        <f t="shared" si="0"/>
        <v>Slow</v>
      </c>
      <c r="K33" s="5">
        <v>44</v>
      </c>
      <c r="L33" s="5" t="str">
        <f t="shared" si="1"/>
        <v>Medium</v>
      </c>
      <c r="M33" s="5">
        <v>4</v>
      </c>
      <c r="N33" t="s">
        <v>27</v>
      </c>
      <c r="O33" s="3">
        <v>2.68</v>
      </c>
      <c r="P33" t="s">
        <v>28</v>
      </c>
      <c r="Q33" t="s">
        <v>62</v>
      </c>
      <c r="R33" s="5">
        <v>24</v>
      </c>
      <c r="S33" s="5">
        <v>461</v>
      </c>
      <c r="T33" s="5">
        <v>8</v>
      </c>
      <c r="U33" s="3">
        <v>60.25</v>
      </c>
      <c r="V33" t="s">
        <v>30</v>
      </c>
      <c r="W33" s="7">
        <v>2.9890000066550702</v>
      </c>
      <c r="X33" s="7">
        <f>Supply_Chain_Table[[#This Row],[Defect Rates]]/100</f>
        <v>2.9890000066550702E-2</v>
      </c>
      <c r="Y33" t="s">
        <v>47</v>
      </c>
      <c r="Z33" t="s">
        <v>41</v>
      </c>
      <c r="AA33" s="3">
        <v>609.38</v>
      </c>
    </row>
    <row r="34" spans="1:27" x14ac:dyDescent="0.25">
      <c r="A34" t="s">
        <v>155</v>
      </c>
      <c r="B34" t="s">
        <v>86</v>
      </c>
      <c r="C34" s="3">
        <v>79.209999999999994</v>
      </c>
      <c r="D34" s="5">
        <v>43</v>
      </c>
      <c r="E34" s="5">
        <v>781</v>
      </c>
      <c r="F34" s="3">
        <v>9571.5499999999993</v>
      </c>
      <c r="G34" t="s">
        <v>38</v>
      </c>
      <c r="H34" s="5">
        <v>89</v>
      </c>
      <c r="I34" s="5">
        <v>13</v>
      </c>
      <c r="J34" s="5" t="str">
        <f t="shared" si="0"/>
        <v>Moderate</v>
      </c>
      <c r="K34" s="5">
        <v>64</v>
      </c>
      <c r="L34" s="5" t="str">
        <f t="shared" si="1"/>
        <v>Large</v>
      </c>
      <c r="M34" s="5">
        <v>4</v>
      </c>
      <c r="N34" t="s">
        <v>43</v>
      </c>
      <c r="O34" s="3">
        <v>6.6</v>
      </c>
      <c r="P34" t="s">
        <v>28</v>
      </c>
      <c r="Q34" t="s">
        <v>45</v>
      </c>
      <c r="R34" s="5">
        <v>30</v>
      </c>
      <c r="S34" s="5">
        <v>737</v>
      </c>
      <c r="T34" s="5">
        <v>7</v>
      </c>
      <c r="U34" s="3">
        <v>29.69</v>
      </c>
      <c r="V34" t="s">
        <v>64</v>
      </c>
      <c r="W34" s="7">
        <v>1.94603611938611</v>
      </c>
      <c r="X34" s="7">
        <f>Supply_Chain_Table[[#This Row],[Defect Rates]]/100</f>
        <v>1.94603611938611E-2</v>
      </c>
      <c r="Y34" t="s">
        <v>31</v>
      </c>
      <c r="Z34" t="s">
        <v>48</v>
      </c>
      <c r="AA34" s="3">
        <v>761.17</v>
      </c>
    </row>
    <row r="35" spans="1:27" x14ac:dyDescent="0.25">
      <c r="A35" t="s">
        <v>156</v>
      </c>
      <c r="B35" t="s">
        <v>87</v>
      </c>
      <c r="C35" s="3">
        <v>64.8</v>
      </c>
      <c r="D35" s="5">
        <v>63</v>
      </c>
      <c r="E35" s="5">
        <v>616</v>
      </c>
      <c r="F35" s="3">
        <v>5150</v>
      </c>
      <c r="G35" t="s">
        <v>158</v>
      </c>
      <c r="H35" s="5">
        <v>4</v>
      </c>
      <c r="I35" s="5">
        <v>17</v>
      </c>
      <c r="J35" s="5" t="str">
        <f t="shared" si="0"/>
        <v>Slow</v>
      </c>
      <c r="K35" s="5">
        <v>95</v>
      </c>
      <c r="L35" s="5" t="str">
        <f t="shared" si="1"/>
        <v>Large</v>
      </c>
      <c r="M35" s="5">
        <v>9</v>
      </c>
      <c r="N35" t="s">
        <v>43</v>
      </c>
      <c r="O35" s="3">
        <v>4.8600000000000003</v>
      </c>
      <c r="P35" t="s">
        <v>44</v>
      </c>
      <c r="Q35" t="s">
        <v>62</v>
      </c>
      <c r="R35" s="5">
        <v>1</v>
      </c>
      <c r="S35" s="5">
        <v>251</v>
      </c>
      <c r="T35" s="5">
        <v>23</v>
      </c>
      <c r="U35" s="3">
        <v>23.85</v>
      </c>
      <c r="V35" t="s">
        <v>46</v>
      </c>
      <c r="W35" s="7">
        <v>3.54104601225092</v>
      </c>
      <c r="X35" s="7">
        <f>Supply_Chain_Table[[#This Row],[Defect Rates]]/100</f>
        <v>3.5410460122509202E-2</v>
      </c>
      <c r="Y35" t="s">
        <v>56</v>
      </c>
      <c r="Z35" t="s">
        <v>48</v>
      </c>
      <c r="AA35" s="3">
        <v>371.26</v>
      </c>
    </row>
    <row r="36" spans="1:27" x14ac:dyDescent="0.25">
      <c r="A36" t="s">
        <v>155</v>
      </c>
      <c r="B36" t="s">
        <v>88</v>
      </c>
      <c r="C36" s="3">
        <v>37.47</v>
      </c>
      <c r="D36" s="5">
        <v>96</v>
      </c>
      <c r="E36" s="5">
        <v>602</v>
      </c>
      <c r="F36" s="3">
        <v>9061.7099999999991</v>
      </c>
      <c r="G36" t="s">
        <v>38</v>
      </c>
      <c r="H36" s="5">
        <v>1</v>
      </c>
      <c r="I36" s="5">
        <v>26</v>
      </c>
      <c r="J36" s="5" t="str">
        <f t="shared" si="0"/>
        <v>Slow</v>
      </c>
      <c r="K36" s="5">
        <v>21</v>
      </c>
      <c r="L36" s="5" t="str">
        <f t="shared" si="1"/>
        <v>Medium</v>
      </c>
      <c r="M36" s="5">
        <v>7</v>
      </c>
      <c r="N36" t="s">
        <v>36</v>
      </c>
      <c r="O36" s="3">
        <v>1.02</v>
      </c>
      <c r="P36" t="s">
        <v>39</v>
      </c>
      <c r="Q36" t="s">
        <v>62</v>
      </c>
      <c r="R36" s="5">
        <v>4</v>
      </c>
      <c r="S36" s="5">
        <v>452</v>
      </c>
      <c r="T36" s="5">
        <v>10</v>
      </c>
      <c r="U36" s="3">
        <v>10.75</v>
      </c>
      <c r="V36" t="s">
        <v>64</v>
      </c>
      <c r="W36" s="7">
        <v>0.64660455937205397</v>
      </c>
      <c r="X36" s="7">
        <f>Supply_Chain_Table[[#This Row],[Defect Rates]]/100</f>
        <v>6.4660455937205399E-3</v>
      </c>
      <c r="Y36" t="s">
        <v>31</v>
      </c>
      <c r="Z36" t="s">
        <v>32</v>
      </c>
      <c r="AA36" s="3">
        <v>510.36</v>
      </c>
    </row>
    <row r="37" spans="1:27" x14ac:dyDescent="0.25">
      <c r="A37" t="s">
        <v>156</v>
      </c>
      <c r="B37" t="s">
        <v>89</v>
      </c>
      <c r="C37" s="3">
        <v>84.96</v>
      </c>
      <c r="D37" s="5">
        <v>11</v>
      </c>
      <c r="E37" s="5">
        <v>449</v>
      </c>
      <c r="F37" s="3">
        <v>6541.33</v>
      </c>
      <c r="G37" t="s">
        <v>35</v>
      </c>
      <c r="H37" s="5">
        <v>42</v>
      </c>
      <c r="I37" s="5">
        <v>27</v>
      </c>
      <c r="J37" s="5" t="str">
        <f t="shared" si="0"/>
        <v>Slow</v>
      </c>
      <c r="K37" s="5">
        <v>85</v>
      </c>
      <c r="L37" s="5" t="str">
        <f t="shared" si="1"/>
        <v>Large</v>
      </c>
      <c r="M37" s="5">
        <v>8</v>
      </c>
      <c r="N37" t="s">
        <v>43</v>
      </c>
      <c r="O37" s="3">
        <v>5.29</v>
      </c>
      <c r="P37" t="s">
        <v>39</v>
      </c>
      <c r="Q37" t="s">
        <v>50</v>
      </c>
      <c r="R37" s="5">
        <v>3</v>
      </c>
      <c r="S37" s="5">
        <v>367</v>
      </c>
      <c r="T37" s="5">
        <v>2</v>
      </c>
      <c r="U37" s="3">
        <v>58</v>
      </c>
      <c r="V37" t="s">
        <v>64</v>
      </c>
      <c r="W37" s="7">
        <v>0.54115409806058101</v>
      </c>
      <c r="X37" s="7">
        <f>Supply_Chain_Table[[#This Row],[Defect Rates]]/100</f>
        <v>5.4115409806058104E-3</v>
      </c>
      <c r="Y37" t="s">
        <v>56</v>
      </c>
      <c r="Z37" t="s">
        <v>41</v>
      </c>
      <c r="AA37" s="3">
        <v>553.41999999999996</v>
      </c>
    </row>
    <row r="38" spans="1:27" x14ac:dyDescent="0.25">
      <c r="A38" t="s">
        <v>155</v>
      </c>
      <c r="B38" t="s">
        <v>90</v>
      </c>
      <c r="C38" s="3">
        <v>9.81</v>
      </c>
      <c r="D38" s="5">
        <v>34</v>
      </c>
      <c r="E38" s="5">
        <v>963</v>
      </c>
      <c r="F38" s="3">
        <v>7573.4</v>
      </c>
      <c r="G38" t="s">
        <v>35</v>
      </c>
      <c r="H38" s="5">
        <v>18</v>
      </c>
      <c r="I38" s="5">
        <v>23</v>
      </c>
      <c r="J38" s="5" t="str">
        <f t="shared" si="0"/>
        <v>Slow</v>
      </c>
      <c r="K38" s="5">
        <v>28</v>
      </c>
      <c r="L38" s="5" t="str">
        <f t="shared" si="1"/>
        <v>Medium</v>
      </c>
      <c r="M38" s="5">
        <v>3</v>
      </c>
      <c r="N38" t="s">
        <v>27</v>
      </c>
      <c r="O38" s="3">
        <v>2.11</v>
      </c>
      <c r="P38" t="s">
        <v>61</v>
      </c>
      <c r="Q38" t="s">
        <v>50</v>
      </c>
      <c r="R38" s="5">
        <v>26</v>
      </c>
      <c r="S38" s="5">
        <v>671</v>
      </c>
      <c r="T38" s="5">
        <v>19</v>
      </c>
      <c r="U38" s="3">
        <v>45.53</v>
      </c>
      <c r="V38" t="s">
        <v>46</v>
      </c>
      <c r="W38" s="7">
        <v>3.8055333792433501</v>
      </c>
      <c r="X38" s="7">
        <f>Supply_Chain_Table[[#This Row],[Defect Rates]]/100</f>
        <v>3.8055333792433504E-2</v>
      </c>
      <c r="Y38" t="s">
        <v>40</v>
      </c>
      <c r="Z38" t="s">
        <v>41</v>
      </c>
      <c r="AA38" s="3">
        <v>403.81</v>
      </c>
    </row>
    <row r="39" spans="1:27" x14ac:dyDescent="0.25">
      <c r="A39" t="s">
        <v>155</v>
      </c>
      <c r="B39" t="s">
        <v>91</v>
      </c>
      <c r="C39" s="3">
        <v>23.4</v>
      </c>
      <c r="D39" s="5">
        <v>5</v>
      </c>
      <c r="E39" s="5">
        <v>963</v>
      </c>
      <c r="F39" s="3">
        <v>2438.34</v>
      </c>
      <c r="G39" t="s">
        <v>35</v>
      </c>
      <c r="H39" s="5">
        <v>25</v>
      </c>
      <c r="I39" s="5">
        <v>8</v>
      </c>
      <c r="J39" s="5" t="str">
        <f t="shared" si="0"/>
        <v>Moderate</v>
      </c>
      <c r="K39" s="5">
        <v>21</v>
      </c>
      <c r="L39" s="5" t="str">
        <f t="shared" si="1"/>
        <v>Medium</v>
      </c>
      <c r="M39" s="5">
        <v>9</v>
      </c>
      <c r="N39" t="s">
        <v>36</v>
      </c>
      <c r="O39" s="3">
        <v>1.53</v>
      </c>
      <c r="P39" t="s">
        <v>28</v>
      </c>
      <c r="Q39" t="s">
        <v>45</v>
      </c>
      <c r="R39" s="5">
        <v>24</v>
      </c>
      <c r="S39" s="5">
        <v>867</v>
      </c>
      <c r="T39" s="5">
        <v>15</v>
      </c>
      <c r="U39" s="3">
        <v>34.340000000000003</v>
      </c>
      <c r="V39" t="s">
        <v>30</v>
      </c>
      <c r="W39" s="7">
        <v>2.61028808484811</v>
      </c>
      <c r="X39" s="7">
        <f>Supply_Chain_Table[[#This Row],[Defect Rates]]/100</f>
        <v>2.61028808484811E-2</v>
      </c>
      <c r="Y39" t="s">
        <v>56</v>
      </c>
      <c r="Z39" t="s">
        <v>48</v>
      </c>
      <c r="AA39" s="3">
        <v>183.93</v>
      </c>
    </row>
    <row r="40" spans="1:27" x14ac:dyDescent="0.25">
      <c r="A40" t="s">
        <v>156</v>
      </c>
      <c r="B40" t="s">
        <v>92</v>
      </c>
      <c r="C40" s="3">
        <v>52.08</v>
      </c>
      <c r="D40" s="5">
        <v>75</v>
      </c>
      <c r="E40" s="5">
        <v>705</v>
      </c>
      <c r="F40" s="3">
        <v>9692.32</v>
      </c>
      <c r="G40" t="s">
        <v>158</v>
      </c>
      <c r="H40" s="5">
        <v>69</v>
      </c>
      <c r="I40" s="5">
        <v>1</v>
      </c>
      <c r="J40" s="5" t="str">
        <f t="shared" si="0"/>
        <v>Fast</v>
      </c>
      <c r="K40" s="5">
        <v>88</v>
      </c>
      <c r="L40" s="5" t="str">
        <f t="shared" si="1"/>
        <v>Large</v>
      </c>
      <c r="M40" s="5">
        <v>5</v>
      </c>
      <c r="N40" t="s">
        <v>27</v>
      </c>
      <c r="O40" s="3">
        <v>9.24</v>
      </c>
      <c r="P40" t="s">
        <v>44</v>
      </c>
      <c r="Q40" t="s">
        <v>29</v>
      </c>
      <c r="R40" s="5">
        <v>10</v>
      </c>
      <c r="S40" s="5">
        <v>841</v>
      </c>
      <c r="T40" s="5">
        <v>12</v>
      </c>
      <c r="U40" s="3">
        <v>5.93</v>
      </c>
      <c r="V40" t="s">
        <v>30</v>
      </c>
      <c r="W40" s="7">
        <v>0.613326899164507</v>
      </c>
      <c r="X40" s="7">
        <f>Supply_Chain_Table[[#This Row],[Defect Rates]]/100</f>
        <v>6.1332689916450698E-3</v>
      </c>
      <c r="Y40" t="s">
        <v>40</v>
      </c>
      <c r="Z40" t="s">
        <v>32</v>
      </c>
      <c r="AA40" s="3">
        <v>339.67</v>
      </c>
    </row>
    <row r="41" spans="1:27" x14ac:dyDescent="0.25">
      <c r="A41" t="s">
        <v>155</v>
      </c>
      <c r="B41" t="s">
        <v>93</v>
      </c>
      <c r="C41" s="3">
        <v>19.13</v>
      </c>
      <c r="D41" s="5">
        <v>26</v>
      </c>
      <c r="E41" s="5">
        <v>176</v>
      </c>
      <c r="F41" s="3">
        <v>1912.47</v>
      </c>
      <c r="G41" t="s">
        <v>35</v>
      </c>
      <c r="H41" s="5">
        <v>78</v>
      </c>
      <c r="I41" s="5">
        <v>29</v>
      </c>
      <c r="J41" s="5" t="str">
        <f t="shared" si="0"/>
        <v>Slow</v>
      </c>
      <c r="K41" s="5">
        <v>34</v>
      </c>
      <c r="L41" s="5" t="str">
        <f t="shared" si="1"/>
        <v>Medium</v>
      </c>
      <c r="M41" s="5">
        <v>3</v>
      </c>
      <c r="N41" t="s">
        <v>36</v>
      </c>
      <c r="O41" s="3">
        <v>5.56</v>
      </c>
      <c r="P41" t="s">
        <v>61</v>
      </c>
      <c r="Q41" t="s">
        <v>45</v>
      </c>
      <c r="R41" s="5">
        <v>30</v>
      </c>
      <c r="S41" s="5">
        <v>791</v>
      </c>
      <c r="T41" s="5">
        <v>6</v>
      </c>
      <c r="U41" s="3">
        <v>9.01</v>
      </c>
      <c r="V41" t="s">
        <v>46</v>
      </c>
      <c r="W41" s="7">
        <v>1.4519722039968099</v>
      </c>
      <c r="X41" s="7">
        <f>Supply_Chain_Table[[#This Row],[Defect Rates]]/100</f>
        <v>1.4519722039968099E-2</v>
      </c>
      <c r="Y41" t="s">
        <v>40</v>
      </c>
      <c r="Z41" t="s">
        <v>32</v>
      </c>
      <c r="AA41" s="3">
        <v>653.66999999999996</v>
      </c>
    </row>
    <row r="42" spans="1:27" x14ac:dyDescent="0.25">
      <c r="A42" t="s">
        <v>155</v>
      </c>
      <c r="B42" t="s">
        <v>94</v>
      </c>
      <c r="C42" s="3">
        <v>80.540000000000006</v>
      </c>
      <c r="D42" s="5">
        <v>97</v>
      </c>
      <c r="E42" s="5">
        <v>933</v>
      </c>
      <c r="F42" s="3">
        <v>5724.96</v>
      </c>
      <c r="G42" t="s">
        <v>35</v>
      </c>
      <c r="H42" s="5">
        <v>90</v>
      </c>
      <c r="I42" s="5">
        <v>20</v>
      </c>
      <c r="J42" s="5" t="str">
        <f t="shared" si="0"/>
        <v>Slow</v>
      </c>
      <c r="K42" s="5">
        <v>39</v>
      </c>
      <c r="L42" s="5" t="str">
        <f t="shared" si="1"/>
        <v>Medium</v>
      </c>
      <c r="M42" s="5">
        <v>8</v>
      </c>
      <c r="N42" t="s">
        <v>43</v>
      </c>
      <c r="O42" s="3">
        <v>7.23</v>
      </c>
      <c r="P42" t="s">
        <v>39</v>
      </c>
      <c r="Q42" t="s">
        <v>45</v>
      </c>
      <c r="R42" s="5">
        <v>18</v>
      </c>
      <c r="S42" s="5">
        <v>793</v>
      </c>
      <c r="T42" s="5">
        <v>1</v>
      </c>
      <c r="U42" s="3">
        <v>88.18</v>
      </c>
      <c r="V42" t="s">
        <v>30</v>
      </c>
      <c r="W42" s="7">
        <v>4.2132694305865597</v>
      </c>
      <c r="X42" s="7">
        <f>Supply_Chain_Table[[#This Row],[Defect Rates]]/100</f>
        <v>4.2132694305865595E-2</v>
      </c>
      <c r="Y42" t="s">
        <v>31</v>
      </c>
      <c r="Z42" t="s">
        <v>48</v>
      </c>
      <c r="AA42" s="3">
        <v>529.80999999999995</v>
      </c>
    </row>
    <row r="43" spans="1:27" x14ac:dyDescent="0.25">
      <c r="A43" t="s">
        <v>155</v>
      </c>
      <c r="B43" t="s">
        <v>95</v>
      </c>
      <c r="C43" s="3">
        <v>99.11</v>
      </c>
      <c r="D43" s="5">
        <v>35</v>
      </c>
      <c r="E43" s="5">
        <v>556</v>
      </c>
      <c r="F43" s="3">
        <v>5521.21</v>
      </c>
      <c r="G43" t="s">
        <v>35</v>
      </c>
      <c r="H43" s="5">
        <v>64</v>
      </c>
      <c r="I43" s="5">
        <v>19</v>
      </c>
      <c r="J43" s="5" t="str">
        <f t="shared" si="0"/>
        <v>Slow</v>
      </c>
      <c r="K43" s="5">
        <v>38</v>
      </c>
      <c r="L43" s="5" t="str">
        <f t="shared" si="1"/>
        <v>Medium</v>
      </c>
      <c r="M43" s="5">
        <v>8</v>
      </c>
      <c r="N43" t="s">
        <v>27</v>
      </c>
      <c r="O43" s="3">
        <v>5.77</v>
      </c>
      <c r="P43" t="s">
        <v>52</v>
      </c>
      <c r="Q43" t="s">
        <v>62</v>
      </c>
      <c r="R43" s="5">
        <v>18</v>
      </c>
      <c r="S43" s="5">
        <v>892</v>
      </c>
      <c r="T43" s="5">
        <v>7</v>
      </c>
      <c r="U43" s="3">
        <v>95.33</v>
      </c>
      <c r="V43" t="s">
        <v>46</v>
      </c>
      <c r="W43" s="7">
        <v>4.5302262398259602E-2</v>
      </c>
      <c r="X43" s="7">
        <f>Supply_Chain_Table[[#This Row],[Defect Rates]]/100</f>
        <v>4.5302262398259604E-4</v>
      </c>
      <c r="Y43" t="s">
        <v>56</v>
      </c>
      <c r="Z43" t="s">
        <v>48</v>
      </c>
      <c r="AA43" s="3">
        <v>275.52</v>
      </c>
    </row>
    <row r="44" spans="1:27" x14ac:dyDescent="0.25">
      <c r="A44" t="s">
        <v>155</v>
      </c>
      <c r="B44" t="s">
        <v>96</v>
      </c>
      <c r="C44" s="3">
        <v>46.53</v>
      </c>
      <c r="D44" s="5">
        <v>98</v>
      </c>
      <c r="E44" s="5">
        <v>155</v>
      </c>
      <c r="F44" s="3">
        <v>1839.61</v>
      </c>
      <c r="G44" t="s">
        <v>35</v>
      </c>
      <c r="H44" s="5">
        <v>22</v>
      </c>
      <c r="I44" s="5">
        <v>27</v>
      </c>
      <c r="J44" s="5" t="str">
        <f t="shared" si="0"/>
        <v>Slow</v>
      </c>
      <c r="K44" s="5">
        <v>57</v>
      </c>
      <c r="L44" s="5" t="str">
        <f t="shared" si="1"/>
        <v>Medium</v>
      </c>
      <c r="M44" s="5">
        <v>4</v>
      </c>
      <c r="N44" t="s">
        <v>43</v>
      </c>
      <c r="O44" s="3">
        <v>7.53</v>
      </c>
      <c r="P44" t="s">
        <v>44</v>
      </c>
      <c r="Q44" t="s">
        <v>53</v>
      </c>
      <c r="R44" s="5">
        <v>26</v>
      </c>
      <c r="S44" s="5">
        <v>179</v>
      </c>
      <c r="T44" s="5">
        <v>7</v>
      </c>
      <c r="U44" s="3">
        <v>96.42</v>
      </c>
      <c r="V44" t="s">
        <v>46</v>
      </c>
      <c r="W44" s="7">
        <v>4.9392552886209398</v>
      </c>
      <c r="X44" s="7">
        <f>Supply_Chain_Table[[#This Row],[Defect Rates]]/100</f>
        <v>4.9392552886209397E-2</v>
      </c>
      <c r="Y44" t="s">
        <v>31</v>
      </c>
      <c r="Z44" t="s">
        <v>48</v>
      </c>
      <c r="AA44" s="3">
        <v>635.66</v>
      </c>
    </row>
    <row r="45" spans="1:27" x14ac:dyDescent="0.25">
      <c r="A45" t="s">
        <v>154</v>
      </c>
      <c r="B45" t="s">
        <v>97</v>
      </c>
      <c r="C45" s="3">
        <v>11.74</v>
      </c>
      <c r="D45" s="5">
        <v>6</v>
      </c>
      <c r="E45" s="5">
        <v>598</v>
      </c>
      <c r="F45" s="3">
        <v>5737.43</v>
      </c>
      <c r="G45" t="s">
        <v>38</v>
      </c>
      <c r="H45" s="5">
        <v>36</v>
      </c>
      <c r="I45" s="5">
        <v>29</v>
      </c>
      <c r="J45" s="5" t="str">
        <f t="shared" si="0"/>
        <v>Slow</v>
      </c>
      <c r="K45" s="5">
        <v>85</v>
      </c>
      <c r="L45" s="5" t="str">
        <f t="shared" si="1"/>
        <v>Large</v>
      </c>
      <c r="M45" s="5">
        <v>9</v>
      </c>
      <c r="N45" t="s">
        <v>27</v>
      </c>
      <c r="O45" s="3">
        <v>3.69</v>
      </c>
      <c r="P45" t="s">
        <v>44</v>
      </c>
      <c r="Q45" t="s">
        <v>29</v>
      </c>
      <c r="R45" s="5">
        <v>1</v>
      </c>
      <c r="S45" s="5">
        <v>206</v>
      </c>
      <c r="T45" s="5">
        <v>23</v>
      </c>
      <c r="U45" s="3">
        <v>26.28</v>
      </c>
      <c r="V45" t="s">
        <v>30</v>
      </c>
      <c r="W45" s="7">
        <v>0.37230476798509698</v>
      </c>
      <c r="X45" s="7">
        <f>Supply_Chain_Table[[#This Row],[Defect Rates]]/100</f>
        <v>3.72304767985097E-3</v>
      </c>
      <c r="Y45" t="s">
        <v>40</v>
      </c>
      <c r="Z45" t="s">
        <v>48</v>
      </c>
      <c r="AA45" s="3">
        <v>716.04</v>
      </c>
    </row>
    <row r="46" spans="1:27" x14ac:dyDescent="0.25">
      <c r="A46" t="s">
        <v>156</v>
      </c>
      <c r="B46" t="s">
        <v>98</v>
      </c>
      <c r="C46" s="3">
        <v>51.36</v>
      </c>
      <c r="D46" s="5">
        <v>34</v>
      </c>
      <c r="E46" s="5">
        <v>919</v>
      </c>
      <c r="F46" s="3">
        <v>7152.29</v>
      </c>
      <c r="G46" t="s">
        <v>35</v>
      </c>
      <c r="H46" s="5">
        <v>13</v>
      </c>
      <c r="I46" s="5">
        <v>19</v>
      </c>
      <c r="J46" s="5" t="str">
        <f t="shared" si="0"/>
        <v>Slow</v>
      </c>
      <c r="K46" s="5">
        <v>72</v>
      </c>
      <c r="L46" s="5" t="str">
        <f t="shared" si="1"/>
        <v>Large</v>
      </c>
      <c r="M46" s="5">
        <v>6</v>
      </c>
      <c r="N46" t="s">
        <v>43</v>
      </c>
      <c r="O46" s="3">
        <v>7.58</v>
      </c>
      <c r="P46" t="s">
        <v>61</v>
      </c>
      <c r="Q46" t="s">
        <v>50</v>
      </c>
      <c r="R46" s="5">
        <v>7</v>
      </c>
      <c r="S46" s="5">
        <v>834</v>
      </c>
      <c r="T46" s="5">
        <v>18</v>
      </c>
      <c r="U46" s="3">
        <v>22.55</v>
      </c>
      <c r="V46" t="s">
        <v>46</v>
      </c>
      <c r="W46" s="7">
        <v>2.9626263204548802</v>
      </c>
      <c r="X46" s="7">
        <f>Supply_Chain_Table[[#This Row],[Defect Rates]]/100</f>
        <v>2.9626263204548801E-2</v>
      </c>
      <c r="Y46" t="s">
        <v>47</v>
      </c>
      <c r="Z46" t="s">
        <v>48</v>
      </c>
      <c r="AA46" s="3">
        <v>610.45000000000005</v>
      </c>
    </row>
    <row r="47" spans="1:27" x14ac:dyDescent="0.25">
      <c r="A47" t="s">
        <v>154</v>
      </c>
      <c r="B47" t="s">
        <v>99</v>
      </c>
      <c r="C47" s="3">
        <v>33.78</v>
      </c>
      <c r="D47" s="5">
        <v>1</v>
      </c>
      <c r="E47" s="5">
        <v>24</v>
      </c>
      <c r="F47" s="3">
        <v>5267.96</v>
      </c>
      <c r="G47" t="s">
        <v>55</v>
      </c>
      <c r="H47" s="5">
        <v>93</v>
      </c>
      <c r="I47" s="5">
        <v>7</v>
      </c>
      <c r="J47" s="5" t="str">
        <f t="shared" si="0"/>
        <v>Fast</v>
      </c>
      <c r="K47" s="5">
        <v>52</v>
      </c>
      <c r="L47" s="5" t="str">
        <f t="shared" si="1"/>
        <v>Medium</v>
      </c>
      <c r="M47" s="5">
        <v>6</v>
      </c>
      <c r="N47" t="s">
        <v>27</v>
      </c>
      <c r="O47" s="3">
        <v>5.22</v>
      </c>
      <c r="P47" t="s">
        <v>61</v>
      </c>
      <c r="Q47" t="s">
        <v>62</v>
      </c>
      <c r="R47" s="5">
        <v>25</v>
      </c>
      <c r="S47" s="5">
        <v>794</v>
      </c>
      <c r="T47" s="5">
        <v>25</v>
      </c>
      <c r="U47" s="3">
        <v>66.31</v>
      </c>
      <c r="V47" t="s">
        <v>64</v>
      </c>
      <c r="W47" s="7">
        <v>3.2196046120841002</v>
      </c>
      <c r="X47" s="7">
        <f>Supply_Chain_Table[[#This Row],[Defect Rates]]/100</f>
        <v>3.2196046120841003E-2</v>
      </c>
      <c r="Y47" t="s">
        <v>47</v>
      </c>
      <c r="Z47" t="s">
        <v>48</v>
      </c>
      <c r="AA47" s="3">
        <v>495.31</v>
      </c>
    </row>
    <row r="48" spans="1:27" x14ac:dyDescent="0.25">
      <c r="A48" t="s">
        <v>154</v>
      </c>
      <c r="B48" t="s">
        <v>100</v>
      </c>
      <c r="C48" s="3">
        <v>27.08</v>
      </c>
      <c r="D48" s="5">
        <v>75</v>
      </c>
      <c r="E48" s="5">
        <v>859</v>
      </c>
      <c r="F48" s="3">
        <v>2556.77</v>
      </c>
      <c r="G48" t="s">
        <v>158</v>
      </c>
      <c r="H48" s="5">
        <v>92</v>
      </c>
      <c r="I48" s="5">
        <v>29</v>
      </c>
      <c r="J48" s="5" t="str">
        <f t="shared" si="0"/>
        <v>Slow</v>
      </c>
      <c r="K48" s="5">
        <v>6</v>
      </c>
      <c r="L48" s="5" t="str">
        <f t="shared" si="1"/>
        <v>Small</v>
      </c>
      <c r="M48" s="5">
        <v>8</v>
      </c>
      <c r="N48" t="s">
        <v>27</v>
      </c>
      <c r="O48" s="3">
        <v>4.07</v>
      </c>
      <c r="P48" t="s">
        <v>28</v>
      </c>
      <c r="Q48" t="s">
        <v>62</v>
      </c>
      <c r="R48" s="5">
        <v>18</v>
      </c>
      <c r="S48" s="5">
        <v>870</v>
      </c>
      <c r="T48" s="5">
        <v>23</v>
      </c>
      <c r="U48" s="3">
        <v>77.319999999999993</v>
      </c>
      <c r="V48" t="s">
        <v>30</v>
      </c>
      <c r="W48" s="7">
        <v>3.6486105925361998</v>
      </c>
      <c r="X48" s="7">
        <f>Supply_Chain_Table[[#This Row],[Defect Rates]]/100</f>
        <v>3.6486105925362E-2</v>
      </c>
      <c r="Y48" t="s">
        <v>31</v>
      </c>
      <c r="Z48" t="s">
        <v>32</v>
      </c>
      <c r="AA48" s="3">
        <v>380.44</v>
      </c>
    </row>
    <row r="49" spans="1:27" x14ac:dyDescent="0.25">
      <c r="A49" t="s">
        <v>155</v>
      </c>
      <c r="B49" t="s">
        <v>101</v>
      </c>
      <c r="C49" s="3">
        <v>95.71</v>
      </c>
      <c r="D49" s="5">
        <v>93</v>
      </c>
      <c r="E49" s="5">
        <v>910</v>
      </c>
      <c r="F49" s="3">
        <v>7089.47</v>
      </c>
      <c r="G49" t="s">
        <v>55</v>
      </c>
      <c r="H49" s="5">
        <v>4</v>
      </c>
      <c r="I49" s="5">
        <v>15</v>
      </c>
      <c r="J49" s="5" t="str">
        <f t="shared" si="0"/>
        <v>Slow</v>
      </c>
      <c r="K49" s="5">
        <v>51</v>
      </c>
      <c r="L49" s="5" t="str">
        <f t="shared" si="1"/>
        <v>Medium</v>
      </c>
      <c r="M49" s="5">
        <v>9</v>
      </c>
      <c r="N49" t="s">
        <v>27</v>
      </c>
      <c r="O49" s="3">
        <v>8.98</v>
      </c>
      <c r="P49" t="s">
        <v>39</v>
      </c>
      <c r="Q49" t="s">
        <v>45</v>
      </c>
      <c r="R49" s="5">
        <v>10</v>
      </c>
      <c r="S49" s="5">
        <v>964</v>
      </c>
      <c r="T49" s="5">
        <v>20</v>
      </c>
      <c r="U49" s="3">
        <v>19.71</v>
      </c>
      <c r="V49" t="s">
        <v>30</v>
      </c>
      <c r="W49" s="7">
        <v>0.38057358671321301</v>
      </c>
      <c r="X49" s="7">
        <f>Supply_Chain_Table[[#This Row],[Defect Rates]]/100</f>
        <v>3.8057358671321302E-3</v>
      </c>
      <c r="Y49" t="s">
        <v>47</v>
      </c>
      <c r="Z49" t="s">
        <v>48</v>
      </c>
      <c r="AA49" s="3">
        <v>581.6</v>
      </c>
    </row>
    <row r="50" spans="1:27" x14ac:dyDescent="0.25">
      <c r="A50" t="s">
        <v>154</v>
      </c>
      <c r="B50" t="s">
        <v>102</v>
      </c>
      <c r="C50" s="3">
        <v>76.040000000000006</v>
      </c>
      <c r="D50" s="5">
        <v>28</v>
      </c>
      <c r="E50" s="5">
        <v>29</v>
      </c>
      <c r="F50" s="3">
        <v>7397.07</v>
      </c>
      <c r="G50" t="s">
        <v>158</v>
      </c>
      <c r="H50" s="5">
        <v>30</v>
      </c>
      <c r="I50" s="5">
        <v>16</v>
      </c>
      <c r="J50" s="5" t="str">
        <f t="shared" si="0"/>
        <v>Slow</v>
      </c>
      <c r="K50" s="5">
        <v>9</v>
      </c>
      <c r="L50" s="5" t="str">
        <f t="shared" si="1"/>
        <v>Small</v>
      </c>
      <c r="M50" s="5">
        <v>3</v>
      </c>
      <c r="N50" t="s">
        <v>43</v>
      </c>
      <c r="O50" s="3">
        <v>7.1</v>
      </c>
      <c r="P50" t="s">
        <v>61</v>
      </c>
      <c r="Q50" t="s">
        <v>29</v>
      </c>
      <c r="R50" s="5">
        <v>9</v>
      </c>
      <c r="S50" s="5">
        <v>109</v>
      </c>
      <c r="T50" s="5">
        <v>18</v>
      </c>
      <c r="U50" s="3">
        <v>23.13</v>
      </c>
      <c r="V50" t="s">
        <v>46</v>
      </c>
      <c r="W50" s="7">
        <v>1.6981125407144</v>
      </c>
      <c r="X50" s="7">
        <f>Supply_Chain_Table[[#This Row],[Defect Rates]]/100</f>
        <v>1.6981125407143999E-2</v>
      </c>
      <c r="Y50" t="s">
        <v>47</v>
      </c>
      <c r="Z50" t="s">
        <v>32</v>
      </c>
      <c r="AA50" s="3">
        <v>768.65</v>
      </c>
    </row>
    <row r="51" spans="1:27" x14ac:dyDescent="0.25">
      <c r="A51" t="s">
        <v>156</v>
      </c>
      <c r="B51" t="s">
        <v>103</v>
      </c>
      <c r="C51" s="3">
        <v>78.900000000000006</v>
      </c>
      <c r="D51" s="5">
        <v>19</v>
      </c>
      <c r="E51" s="5">
        <v>99</v>
      </c>
      <c r="F51" s="3">
        <v>8001.61</v>
      </c>
      <c r="G51" t="s">
        <v>38</v>
      </c>
      <c r="H51" s="5">
        <v>97</v>
      </c>
      <c r="I51" s="5">
        <v>24</v>
      </c>
      <c r="J51" s="5" t="str">
        <f t="shared" si="0"/>
        <v>Slow</v>
      </c>
      <c r="K51" s="5">
        <v>9</v>
      </c>
      <c r="L51" s="5" t="str">
        <f t="shared" si="1"/>
        <v>Small</v>
      </c>
      <c r="M51" s="5">
        <v>6</v>
      </c>
      <c r="N51" t="s">
        <v>43</v>
      </c>
      <c r="O51" s="3">
        <v>2.5099999999999998</v>
      </c>
      <c r="P51" t="s">
        <v>44</v>
      </c>
      <c r="Q51" t="s">
        <v>50</v>
      </c>
      <c r="R51" s="5">
        <v>28</v>
      </c>
      <c r="S51" s="5">
        <v>177</v>
      </c>
      <c r="T51" s="5">
        <v>28</v>
      </c>
      <c r="U51" s="3">
        <v>14.15</v>
      </c>
      <c r="V51" t="s">
        <v>64</v>
      </c>
      <c r="W51" s="7">
        <v>2.8258139854001301</v>
      </c>
      <c r="X51" s="7">
        <f>Supply_Chain_Table[[#This Row],[Defect Rates]]/100</f>
        <v>2.8258139854001302E-2</v>
      </c>
      <c r="Y51" t="s">
        <v>47</v>
      </c>
      <c r="Z51" t="s">
        <v>48</v>
      </c>
      <c r="AA51" s="3">
        <v>336.89</v>
      </c>
    </row>
    <row r="52" spans="1:27" x14ac:dyDescent="0.25">
      <c r="A52" t="s">
        <v>156</v>
      </c>
      <c r="B52" t="s">
        <v>104</v>
      </c>
      <c r="C52" s="3">
        <v>14.2</v>
      </c>
      <c r="D52" s="5">
        <v>91</v>
      </c>
      <c r="E52" s="5">
        <v>633</v>
      </c>
      <c r="F52" s="3">
        <v>5910.89</v>
      </c>
      <c r="G52" t="s">
        <v>35</v>
      </c>
      <c r="H52" s="5">
        <v>31</v>
      </c>
      <c r="I52" s="5">
        <v>23</v>
      </c>
      <c r="J52" s="5" t="str">
        <f t="shared" si="0"/>
        <v>Slow</v>
      </c>
      <c r="K52" s="5">
        <v>82</v>
      </c>
      <c r="L52" s="5" t="str">
        <f t="shared" si="1"/>
        <v>Large</v>
      </c>
      <c r="M52" s="5">
        <v>10</v>
      </c>
      <c r="N52" t="s">
        <v>36</v>
      </c>
      <c r="O52" s="3">
        <v>6.25</v>
      </c>
      <c r="P52" t="s">
        <v>61</v>
      </c>
      <c r="Q52" t="s">
        <v>50</v>
      </c>
      <c r="R52" s="5">
        <v>20</v>
      </c>
      <c r="S52" s="5">
        <v>306</v>
      </c>
      <c r="T52" s="5">
        <v>21</v>
      </c>
      <c r="U52" s="3">
        <v>45.18</v>
      </c>
      <c r="V52" t="s">
        <v>46</v>
      </c>
      <c r="W52" s="7">
        <v>4.7548008046711798</v>
      </c>
      <c r="X52" s="7">
        <f>Supply_Chain_Table[[#This Row],[Defect Rates]]/100</f>
        <v>4.7548008046711797E-2</v>
      </c>
      <c r="Y52" t="s">
        <v>47</v>
      </c>
      <c r="Z52" t="s">
        <v>32</v>
      </c>
      <c r="AA52" s="3">
        <v>496.25</v>
      </c>
    </row>
    <row r="53" spans="1:27" x14ac:dyDescent="0.25">
      <c r="A53" t="s">
        <v>154</v>
      </c>
      <c r="B53" t="s">
        <v>105</v>
      </c>
      <c r="C53" s="3">
        <v>26.7</v>
      </c>
      <c r="D53" s="5">
        <v>61</v>
      </c>
      <c r="E53" s="5">
        <v>154</v>
      </c>
      <c r="F53" s="3">
        <v>9866.4699999999993</v>
      </c>
      <c r="G53" t="s">
        <v>55</v>
      </c>
      <c r="H53" s="5">
        <v>100</v>
      </c>
      <c r="I53" s="5">
        <v>4</v>
      </c>
      <c r="J53" s="5" t="str">
        <f t="shared" si="0"/>
        <v>Fast</v>
      </c>
      <c r="K53" s="5">
        <v>52</v>
      </c>
      <c r="L53" s="5" t="str">
        <f t="shared" si="1"/>
        <v>Medium</v>
      </c>
      <c r="M53" s="5">
        <v>1</v>
      </c>
      <c r="N53" t="s">
        <v>36</v>
      </c>
      <c r="O53" s="3">
        <v>4.78</v>
      </c>
      <c r="P53" t="s">
        <v>44</v>
      </c>
      <c r="Q53" t="s">
        <v>53</v>
      </c>
      <c r="R53" s="5">
        <v>18</v>
      </c>
      <c r="S53" s="5">
        <v>673</v>
      </c>
      <c r="T53" s="5">
        <v>28</v>
      </c>
      <c r="U53" s="3">
        <v>14.19</v>
      </c>
      <c r="V53" t="s">
        <v>30</v>
      </c>
      <c r="W53" s="7">
        <v>1.77295117208355</v>
      </c>
      <c r="X53" s="7">
        <f>Supply_Chain_Table[[#This Row],[Defect Rates]]/100</f>
        <v>1.7729511720835499E-2</v>
      </c>
      <c r="Y53" t="s">
        <v>31</v>
      </c>
      <c r="Z53" t="s">
        <v>48</v>
      </c>
      <c r="AA53" s="3">
        <v>694.98</v>
      </c>
    </row>
    <row r="54" spans="1:27" x14ac:dyDescent="0.25">
      <c r="A54" t="s">
        <v>155</v>
      </c>
      <c r="B54" t="s">
        <v>106</v>
      </c>
      <c r="C54" s="3">
        <v>98.03</v>
      </c>
      <c r="D54" s="5">
        <v>1</v>
      </c>
      <c r="E54" s="5">
        <v>820</v>
      </c>
      <c r="F54" s="3">
        <v>9435.76</v>
      </c>
      <c r="G54" t="s">
        <v>55</v>
      </c>
      <c r="H54" s="5">
        <v>64</v>
      </c>
      <c r="I54" s="5">
        <v>11</v>
      </c>
      <c r="J54" s="5" t="str">
        <f t="shared" si="0"/>
        <v>Moderate</v>
      </c>
      <c r="K54" s="5">
        <v>11</v>
      </c>
      <c r="L54" s="5" t="str">
        <f t="shared" si="1"/>
        <v>Small</v>
      </c>
      <c r="M54" s="5">
        <v>1</v>
      </c>
      <c r="N54" t="s">
        <v>27</v>
      </c>
      <c r="O54" s="3">
        <v>8.6300000000000008</v>
      </c>
      <c r="P54" t="s">
        <v>39</v>
      </c>
      <c r="Q54" t="s">
        <v>29</v>
      </c>
      <c r="R54" s="5">
        <v>10</v>
      </c>
      <c r="S54" s="5">
        <v>727</v>
      </c>
      <c r="T54" s="5">
        <v>27</v>
      </c>
      <c r="U54" s="3">
        <v>9.17</v>
      </c>
      <c r="V54" t="s">
        <v>30</v>
      </c>
      <c r="W54" s="7">
        <v>2.1224716191438202</v>
      </c>
      <c r="X54" s="7">
        <f>Supply_Chain_Table[[#This Row],[Defect Rates]]/100</f>
        <v>2.1224716191438203E-2</v>
      </c>
      <c r="Y54" t="s">
        <v>40</v>
      </c>
      <c r="Z54" t="s">
        <v>41</v>
      </c>
      <c r="AA54" s="3">
        <v>602.9</v>
      </c>
    </row>
    <row r="55" spans="1:27" x14ac:dyDescent="0.25">
      <c r="A55" t="s">
        <v>155</v>
      </c>
      <c r="B55" t="s">
        <v>107</v>
      </c>
      <c r="C55" s="3">
        <v>30.34</v>
      </c>
      <c r="D55" s="5">
        <v>93</v>
      </c>
      <c r="E55" s="5">
        <v>242</v>
      </c>
      <c r="F55" s="3">
        <v>8232.33</v>
      </c>
      <c r="G55" t="s">
        <v>55</v>
      </c>
      <c r="H55" s="5">
        <v>96</v>
      </c>
      <c r="I55" s="5">
        <v>25</v>
      </c>
      <c r="J55" s="5" t="str">
        <f t="shared" si="0"/>
        <v>Slow</v>
      </c>
      <c r="K55" s="5">
        <v>54</v>
      </c>
      <c r="L55" s="5" t="str">
        <f t="shared" si="1"/>
        <v>Medium</v>
      </c>
      <c r="M55" s="5">
        <v>3</v>
      </c>
      <c r="N55" t="s">
        <v>27</v>
      </c>
      <c r="O55" s="3">
        <v>1.01</v>
      </c>
      <c r="P55" t="s">
        <v>39</v>
      </c>
      <c r="Q55" t="s">
        <v>50</v>
      </c>
      <c r="R55" s="5">
        <v>1</v>
      </c>
      <c r="S55" s="5">
        <v>631</v>
      </c>
      <c r="T55" s="5">
        <v>17</v>
      </c>
      <c r="U55" s="3">
        <v>83.34</v>
      </c>
      <c r="V55" t="s">
        <v>30</v>
      </c>
      <c r="W55" s="7">
        <v>1.41034757607602</v>
      </c>
      <c r="X55" s="7">
        <f>Supply_Chain_Table[[#This Row],[Defect Rates]]/100</f>
        <v>1.41034757607602E-2</v>
      </c>
      <c r="Y55" t="s">
        <v>40</v>
      </c>
      <c r="Z55" t="s">
        <v>32</v>
      </c>
      <c r="AA55" s="3">
        <v>750.74</v>
      </c>
    </row>
    <row r="56" spans="1:27" x14ac:dyDescent="0.25">
      <c r="A56" t="s">
        <v>154</v>
      </c>
      <c r="B56" t="s">
        <v>108</v>
      </c>
      <c r="C56" s="3">
        <v>31.15</v>
      </c>
      <c r="D56" s="5">
        <v>11</v>
      </c>
      <c r="E56" s="5">
        <v>622</v>
      </c>
      <c r="F56" s="3">
        <v>6088.02</v>
      </c>
      <c r="G56" t="s">
        <v>158</v>
      </c>
      <c r="H56" s="5">
        <v>33</v>
      </c>
      <c r="I56" s="5">
        <v>22</v>
      </c>
      <c r="J56" s="5" t="str">
        <f t="shared" si="0"/>
        <v>Slow</v>
      </c>
      <c r="K56" s="5">
        <v>61</v>
      </c>
      <c r="L56" s="5" t="str">
        <f t="shared" si="1"/>
        <v>Large</v>
      </c>
      <c r="M56" s="5">
        <v>3</v>
      </c>
      <c r="N56" t="s">
        <v>27</v>
      </c>
      <c r="O56" s="3">
        <v>4.3099999999999996</v>
      </c>
      <c r="P56" t="s">
        <v>39</v>
      </c>
      <c r="Q56" t="s">
        <v>45</v>
      </c>
      <c r="R56" s="5">
        <v>26</v>
      </c>
      <c r="S56" s="5">
        <v>497</v>
      </c>
      <c r="T56" s="5">
        <v>29</v>
      </c>
      <c r="U56" s="3">
        <v>30.19</v>
      </c>
      <c r="V56" t="s">
        <v>64</v>
      </c>
      <c r="W56" s="7">
        <v>2.4787719755397402</v>
      </c>
      <c r="X56" s="7">
        <f>Supply_Chain_Table[[#This Row],[Defect Rates]]/100</f>
        <v>2.4787719755397401E-2</v>
      </c>
      <c r="Y56" t="s">
        <v>31</v>
      </c>
      <c r="Z56" t="s">
        <v>32</v>
      </c>
      <c r="AA56" s="3">
        <v>814.07</v>
      </c>
    </row>
    <row r="57" spans="1:27" x14ac:dyDescent="0.25">
      <c r="A57" t="s">
        <v>154</v>
      </c>
      <c r="B57" t="s">
        <v>109</v>
      </c>
      <c r="C57" s="3">
        <v>79.86</v>
      </c>
      <c r="D57" s="5">
        <v>16</v>
      </c>
      <c r="E57" s="5">
        <v>701</v>
      </c>
      <c r="F57" s="3">
        <v>2925.68</v>
      </c>
      <c r="G57" t="s">
        <v>55</v>
      </c>
      <c r="H57" s="5">
        <v>97</v>
      </c>
      <c r="I57" s="5">
        <v>11</v>
      </c>
      <c r="J57" s="5" t="str">
        <f t="shared" si="0"/>
        <v>Moderate</v>
      </c>
      <c r="K57" s="5">
        <v>11</v>
      </c>
      <c r="L57" s="5" t="str">
        <f t="shared" si="1"/>
        <v>Small</v>
      </c>
      <c r="M57" s="5">
        <v>5</v>
      </c>
      <c r="N57" t="s">
        <v>36</v>
      </c>
      <c r="O57" s="3">
        <v>5.01</v>
      </c>
      <c r="P57" t="s">
        <v>61</v>
      </c>
      <c r="Q57" t="s">
        <v>50</v>
      </c>
      <c r="R57" s="5">
        <v>27</v>
      </c>
      <c r="S57" s="5">
        <v>918</v>
      </c>
      <c r="T57" s="5">
        <v>5</v>
      </c>
      <c r="U57" s="3">
        <v>30.32</v>
      </c>
      <c r="V57" t="s">
        <v>46</v>
      </c>
      <c r="W57" s="7">
        <v>4.5489196593963799</v>
      </c>
      <c r="X57" s="7">
        <f>Supply_Chain_Table[[#This Row],[Defect Rates]]/100</f>
        <v>4.5489196593963797E-2</v>
      </c>
      <c r="Y57" t="s">
        <v>56</v>
      </c>
      <c r="Z57" t="s">
        <v>32</v>
      </c>
      <c r="AA57" s="3">
        <v>323.01</v>
      </c>
    </row>
    <row r="58" spans="1:27" x14ac:dyDescent="0.25">
      <c r="A58" t="s">
        <v>155</v>
      </c>
      <c r="B58" t="s">
        <v>110</v>
      </c>
      <c r="C58" s="3">
        <v>20.99</v>
      </c>
      <c r="D58" s="5">
        <v>90</v>
      </c>
      <c r="E58" s="5">
        <v>93</v>
      </c>
      <c r="F58" s="3">
        <v>4767.0200000000004</v>
      </c>
      <c r="G58" t="s">
        <v>158</v>
      </c>
      <c r="H58" s="5">
        <v>25</v>
      </c>
      <c r="I58" s="5">
        <v>23</v>
      </c>
      <c r="J58" s="5" t="str">
        <f t="shared" si="0"/>
        <v>Slow</v>
      </c>
      <c r="K58" s="5">
        <v>83</v>
      </c>
      <c r="L58" s="5" t="str">
        <f t="shared" si="1"/>
        <v>Large</v>
      </c>
      <c r="M58" s="5">
        <v>5</v>
      </c>
      <c r="N58" t="s">
        <v>43</v>
      </c>
      <c r="O58" s="3">
        <v>1.77</v>
      </c>
      <c r="P58" t="s">
        <v>39</v>
      </c>
      <c r="Q58" t="s">
        <v>29</v>
      </c>
      <c r="R58" s="5">
        <v>24</v>
      </c>
      <c r="S58" s="5">
        <v>826</v>
      </c>
      <c r="T58" s="5">
        <v>28</v>
      </c>
      <c r="U58" s="3">
        <v>12.84</v>
      </c>
      <c r="V58" t="s">
        <v>64</v>
      </c>
      <c r="W58" s="7">
        <v>1.1737554953874501</v>
      </c>
      <c r="X58" s="7">
        <f>Supply_Chain_Table[[#This Row],[Defect Rates]]/100</f>
        <v>1.1737554953874501E-2</v>
      </c>
      <c r="Y58" t="s">
        <v>40</v>
      </c>
      <c r="Z58" t="s">
        <v>32</v>
      </c>
      <c r="AA58" s="3">
        <v>832.21</v>
      </c>
    </row>
    <row r="59" spans="1:27" x14ac:dyDescent="0.25">
      <c r="A59" t="s">
        <v>154</v>
      </c>
      <c r="B59" t="s">
        <v>111</v>
      </c>
      <c r="C59" s="3">
        <v>49.26</v>
      </c>
      <c r="D59" s="5">
        <v>65</v>
      </c>
      <c r="E59" s="5">
        <v>227</v>
      </c>
      <c r="F59" s="3">
        <v>1605.87</v>
      </c>
      <c r="G59" t="s">
        <v>38</v>
      </c>
      <c r="H59" s="5">
        <v>5</v>
      </c>
      <c r="I59" s="5">
        <v>18</v>
      </c>
      <c r="J59" s="5" t="str">
        <f t="shared" si="0"/>
        <v>Slow</v>
      </c>
      <c r="K59" s="5">
        <v>51</v>
      </c>
      <c r="L59" s="5" t="str">
        <f t="shared" si="1"/>
        <v>Medium</v>
      </c>
      <c r="M59" s="5">
        <v>1</v>
      </c>
      <c r="N59" t="s">
        <v>27</v>
      </c>
      <c r="O59" s="3">
        <v>9.16</v>
      </c>
      <c r="P59" t="s">
        <v>61</v>
      </c>
      <c r="Q59" t="s">
        <v>50</v>
      </c>
      <c r="R59" s="5">
        <v>21</v>
      </c>
      <c r="S59" s="5">
        <v>588</v>
      </c>
      <c r="T59" s="5">
        <v>25</v>
      </c>
      <c r="U59" s="3">
        <v>67.78</v>
      </c>
      <c r="V59" t="s">
        <v>30</v>
      </c>
      <c r="W59" s="7">
        <v>2.5111748302126999</v>
      </c>
      <c r="X59" s="7">
        <f>Supply_Chain_Table[[#This Row],[Defect Rates]]/100</f>
        <v>2.5111748302127E-2</v>
      </c>
      <c r="Y59" t="s">
        <v>47</v>
      </c>
      <c r="Z59" t="s">
        <v>48</v>
      </c>
      <c r="AA59" s="3">
        <v>482.19</v>
      </c>
    </row>
    <row r="60" spans="1:27" x14ac:dyDescent="0.25">
      <c r="A60" t="s">
        <v>155</v>
      </c>
      <c r="B60" t="s">
        <v>112</v>
      </c>
      <c r="C60" s="3">
        <v>59.84</v>
      </c>
      <c r="D60" s="5">
        <v>81</v>
      </c>
      <c r="E60" s="5">
        <v>896</v>
      </c>
      <c r="F60" s="3">
        <v>2021.15</v>
      </c>
      <c r="G60" t="s">
        <v>158</v>
      </c>
      <c r="H60" s="5">
        <v>10</v>
      </c>
      <c r="I60" s="5">
        <v>5</v>
      </c>
      <c r="J60" s="5" t="str">
        <f t="shared" si="0"/>
        <v>Fast</v>
      </c>
      <c r="K60" s="5">
        <v>44</v>
      </c>
      <c r="L60" s="5" t="str">
        <f t="shared" si="1"/>
        <v>Medium</v>
      </c>
      <c r="M60" s="5">
        <v>7</v>
      </c>
      <c r="N60" t="s">
        <v>36</v>
      </c>
      <c r="O60" s="3">
        <v>4.9400000000000004</v>
      </c>
      <c r="P60" t="s">
        <v>28</v>
      </c>
      <c r="Q60" t="s">
        <v>50</v>
      </c>
      <c r="R60" s="5">
        <v>18</v>
      </c>
      <c r="S60" s="5">
        <v>396</v>
      </c>
      <c r="T60" s="5">
        <v>7</v>
      </c>
      <c r="U60" s="3">
        <v>65.05</v>
      </c>
      <c r="V60" t="s">
        <v>46</v>
      </c>
      <c r="W60" s="7">
        <v>1.7303747198591899</v>
      </c>
      <c r="X60" s="7">
        <f>Supply_Chain_Table[[#This Row],[Defect Rates]]/100</f>
        <v>1.7303747198591898E-2</v>
      </c>
      <c r="Y60" t="s">
        <v>31</v>
      </c>
      <c r="Z60" t="s">
        <v>32</v>
      </c>
      <c r="AA60" s="3">
        <v>110.36</v>
      </c>
    </row>
    <row r="61" spans="1:27" x14ac:dyDescent="0.25">
      <c r="A61" t="s">
        <v>156</v>
      </c>
      <c r="B61" t="s">
        <v>113</v>
      </c>
      <c r="C61" s="3">
        <v>63.83</v>
      </c>
      <c r="D61" s="5">
        <v>30</v>
      </c>
      <c r="E61" s="5">
        <v>484</v>
      </c>
      <c r="F61" s="3">
        <v>1061.6199999999999</v>
      </c>
      <c r="G61" t="s">
        <v>158</v>
      </c>
      <c r="H61" s="5">
        <v>100</v>
      </c>
      <c r="I61" s="5">
        <v>16</v>
      </c>
      <c r="J61" s="5" t="str">
        <f t="shared" si="0"/>
        <v>Slow</v>
      </c>
      <c r="K61" s="5">
        <v>26</v>
      </c>
      <c r="L61" s="5" t="str">
        <f t="shared" si="1"/>
        <v>Medium</v>
      </c>
      <c r="M61" s="5">
        <v>7</v>
      </c>
      <c r="N61" t="s">
        <v>27</v>
      </c>
      <c r="O61" s="3">
        <v>7.29</v>
      </c>
      <c r="P61" t="s">
        <v>39</v>
      </c>
      <c r="Q61" t="s">
        <v>45</v>
      </c>
      <c r="R61" s="5">
        <v>11</v>
      </c>
      <c r="S61" s="5">
        <v>176</v>
      </c>
      <c r="T61" s="5">
        <v>4</v>
      </c>
      <c r="U61" s="3">
        <v>1.9</v>
      </c>
      <c r="V61" t="s">
        <v>46</v>
      </c>
      <c r="W61" s="7">
        <v>0.44719401546382298</v>
      </c>
      <c r="X61" s="7">
        <f>Supply_Chain_Table[[#This Row],[Defect Rates]]/100</f>
        <v>4.4719401546382299E-3</v>
      </c>
      <c r="Y61" t="s">
        <v>40</v>
      </c>
      <c r="Z61" t="s">
        <v>48</v>
      </c>
      <c r="AA61" s="3">
        <v>312.57</v>
      </c>
    </row>
    <row r="62" spans="1:27" x14ac:dyDescent="0.25">
      <c r="A62" t="s">
        <v>155</v>
      </c>
      <c r="B62" t="s">
        <v>114</v>
      </c>
      <c r="C62" s="3">
        <v>17.03</v>
      </c>
      <c r="D62" s="5">
        <v>16</v>
      </c>
      <c r="E62" s="5">
        <v>380</v>
      </c>
      <c r="F62" s="3">
        <v>8864.08</v>
      </c>
      <c r="G62" t="s">
        <v>35</v>
      </c>
      <c r="H62" s="5">
        <v>41</v>
      </c>
      <c r="I62" s="5">
        <v>27</v>
      </c>
      <c r="J62" s="5" t="str">
        <f t="shared" si="0"/>
        <v>Slow</v>
      </c>
      <c r="K62" s="5">
        <v>72</v>
      </c>
      <c r="L62" s="5" t="str">
        <f t="shared" si="1"/>
        <v>Large</v>
      </c>
      <c r="M62" s="5">
        <v>8</v>
      </c>
      <c r="N62" t="s">
        <v>43</v>
      </c>
      <c r="O62" s="3">
        <v>4.38</v>
      </c>
      <c r="P62" t="s">
        <v>52</v>
      </c>
      <c r="Q62" t="s">
        <v>29</v>
      </c>
      <c r="R62" s="5">
        <v>29</v>
      </c>
      <c r="S62" s="5">
        <v>929</v>
      </c>
      <c r="T62" s="5">
        <v>24</v>
      </c>
      <c r="U62" s="3">
        <v>87.21</v>
      </c>
      <c r="V62" t="s">
        <v>46</v>
      </c>
      <c r="W62" s="7">
        <v>2.8530906166490499</v>
      </c>
      <c r="X62" s="7">
        <f>Supply_Chain_Table[[#This Row],[Defect Rates]]/100</f>
        <v>2.85309061664905E-2</v>
      </c>
      <c r="Y62" t="s">
        <v>47</v>
      </c>
      <c r="Z62" t="s">
        <v>48</v>
      </c>
      <c r="AA62" s="3">
        <v>430.17</v>
      </c>
    </row>
    <row r="63" spans="1:27" x14ac:dyDescent="0.25">
      <c r="A63" t="s">
        <v>154</v>
      </c>
      <c r="B63" t="s">
        <v>115</v>
      </c>
      <c r="C63" s="3">
        <v>52.03</v>
      </c>
      <c r="D63" s="5">
        <v>23</v>
      </c>
      <c r="E63" s="5">
        <v>117</v>
      </c>
      <c r="F63" s="3">
        <v>6885.59</v>
      </c>
      <c r="G63" t="s">
        <v>38</v>
      </c>
      <c r="H63" s="5">
        <v>32</v>
      </c>
      <c r="I63" s="5">
        <v>23</v>
      </c>
      <c r="J63" s="5" t="str">
        <f t="shared" si="0"/>
        <v>Slow</v>
      </c>
      <c r="K63" s="5">
        <v>36</v>
      </c>
      <c r="L63" s="5" t="str">
        <f t="shared" si="1"/>
        <v>Medium</v>
      </c>
      <c r="M63" s="5">
        <v>7</v>
      </c>
      <c r="N63" t="s">
        <v>43</v>
      </c>
      <c r="O63" s="3">
        <v>9.0299999999999994</v>
      </c>
      <c r="P63" t="s">
        <v>52</v>
      </c>
      <c r="Q63" t="s">
        <v>45</v>
      </c>
      <c r="R63" s="5">
        <v>14</v>
      </c>
      <c r="S63" s="5">
        <v>480</v>
      </c>
      <c r="T63" s="5">
        <v>12</v>
      </c>
      <c r="U63" s="3">
        <v>78.7</v>
      </c>
      <c r="V63" t="s">
        <v>46</v>
      </c>
      <c r="W63" s="7">
        <v>4.3674705382050503</v>
      </c>
      <c r="X63" s="7">
        <f>Supply_Chain_Table[[#This Row],[Defect Rates]]/100</f>
        <v>4.3674705382050504E-2</v>
      </c>
      <c r="Y63" t="s">
        <v>40</v>
      </c>
      <c r="Z63" t="s">
        <v>48</v>
      </c>
      <c r="AA63" s="3">
        <v>164.37</v>
      </c>
    </row>
    <row r="64" spans="1:27" x14ac:dyDescent="0.25">
      <c r="A64" t="s">
        <v>156</v>
      </c>
      <c r="B64" t="s">
        <v>116</v>
      </c>
      <c r="C64" s="3">
        <v>72.8</v>
      </c>
      <c r="D64" s="5">
        <v>89</v>
      </c>
      <c r="E64" s="5">
        <v>270</v>
      </c>
      <c r="F64" s="3">
        <v>3899.75</v>
      </c>
      <c r="G64" t="s">
        <v>38</v>
      </c>
      <c r="H64" s="5">
        <v>86</v>
      </c>
      <c r="I64" s="5">
        <v>2</v>
      </c>
      <c r="J64" s="5" t="str">
        <f t="shared" si="0"/>
        <v>Fast</v>
      </c>
      <c r="K64" s="5">
        <v>40</v>
      </c>
      <c r="L64" s="5" t="str">
        <f t="shared" si="1"/>
        <v>Medium</v>
      </c>
      <c r="M64" s="5">
        <v>7</v>
      </c>
      <c r="N64" t="s">
        <v>43</v>
      </c>
      <c r="O64" s="3">
        <v>7.29</v>
      </c>
      <c r="P64" t="s">
        <v>61</v>
      </c>
      <c r="Q64" t="s">
        <v>29</v>
      </c>
      <c r="R64" s="5">
        <v>13</v>
      </c>
      <c r="S64" s="5">
        <v>751</v>
      </c>
      <c r="T64" s="5">
        <v>14</v>
      </c>
      <c r="U64" s="3">
        <v>21.05</v>
      </c>
      <c r="V64" t="s">
        <v>64</v>
      </c>
      <c r="W64" s="7">
        <v>1.87400140404437</v>
      </c>
      <c r="X64" s="7">
        <f>Supply_Chain_Table[[#This Row],[Defect Rates]]/100</f>
        <v>1.87400140404437E-2</v>
      </c>
      <c r="Y64" t="s">
        <v>56</v>
      </c>
      <c r="Z64" t="s">
        <v>41</v>
      </c>
      <c r="AA64" s="3">
        <v>320.85000000000002</v>
      </c>
    </row>
    <row r="65" spans="1:27" x14ac:dyDescent="0.25">
      <c r="A65" t="s">
        <v>155</v>
      </c>
      <c r="B65" t="s">
        <v>117</v>
      </c>
      <c r="C65" s="3">
        <v>13.02</v>
      </c>
      <c r="D65" s="5">
        <v>55</v>
      </c>
      <c r="E65" s="5">
        <v>246</v>
      </c>
      <c r="F65" s="3">
        <v>4256.95</v>
      </c>
      <c r="G65" t="s">
        <v>158</v>
      </c>
      <c r="H65" s="5">
        <v>54</v>
      </c>
      <c r="I65" s="5">
        <v>19</v>
      </c>
      <c r="J65" s="5" t="str">
        <f t="shared" si="0"/>
        <v>Slow</v>
      </c>
      <c r="K65" s="5">
        <v>10</v>
      </c>
      <c r="L65" s="5" t="str">
        <f t="shared" si="1"/>
        <v>Small</v>
      </c>
      <c r="M65" s="5">
        <v>4</v>
      </c>
      <c r="N65" t="s">
        <v>36</v>
      </c>
      <c r="O65" s="3">
        <v>2.46</v>
      </c>
      <c r="P65" t="s">
        <v>28</v>
      </c>
      <c r="Q65" t="s">
        <v>53</v>
      </c>
      <c r="R65" s="5">
        <v>18</v>
      </c>
      <c r="S65" s="5">
        <v>736</v>
      </c>
      <c r="T65" s="5">
        <v>10</v>
      </c>
      <c r="U65" s="3">
        <v>20.079999999999998</v>
      </c>
      <c r="V65" t="s">
        <v>30</v>
      </c>
      <c r="W65" s="7">
        <v>3.6328432903821302</v>
      </c>
      <c r="X65" s="7">
        <f>Supply_Chain_Table[[#This Row],[Defect Rates]]/100</f>
        <v>3.6328432903821303E-2</v>
      </c>
      <c r="Y65" t="s">
        <v>56</v>
      </c>
      <c r="Z65" t="s">
        <v>48</v>
      </c>
      <c r="AA65" s="3">
        <v>687.29</v>
      </c>
    </row>
    <row r="66" spans="1:27" x14ac:dyDescent="0.25">
      <c r="A66" t="s">
        <v>155</v>
      </c>
      <c r="B66" t="s">
        <v>118</v>
      </c>
      <c r="C66" s="3">
        <v>89.63</v>
      </c>
      <c r="D66" s="5">
        <v>11</v>
      </c>
      <c r="E66" s="5">
        <v>134</v>
      </c>
      <c r="F66" s="3">
        <v>8458.73</v>
      </c>
      <c r="G66" t="s">
        <v>35</v>
      </c>
      <c r="H66" s="5">
        <v>73</v>
      </c>
      <c r="I66" s="5">
        <v>27</v>
      </c>
      <c r="J66" s="5" t="str">
        <f t="shared" si="0"/>
        <v>Slow</v>
      </c>
      <c r="K66" s="5">
        <v>75</v>
      </c>
      <c r="L66" s="5" t="str">
        <f t="shared" si="1"/>
        <v>Large</v>
      </c>
      <c r="M66" s="5">
        <v>6</v>
      </c>
      <c r="N66" t="s">
        <v>43</v>
      </c>
      <c r="O66" s="3">
        <v>4.59</v>
      </c>
      <c r="P66" t="s">
        <v>39</v>
      </c>
      <c r="Q66" t="s">
        <v>50</v>
      </c>
      <c r="R66" s="5">
        <v>17</v>
      </c>
      <c r="S66" s="5">
        <v>328</v>
      </c>
      <c r="T66" s="5">
        <v>6</v>
      </c>
      <c r="U66" s="3">
        <v>8.69</v>
      </c>
      <c r="V66" t="s">
        <v>46</v>
      </c>
      <c r="W66" s="7">
        <v>0.15948631471751401</v>
      </c>
      <c r="X66" s="7">
        <f>Supply_Chain_Table[[#This Row],[Defect Rates]]/100</f>
        <v>1.5948631471751401E-3</v>
      </c>
      <c r="Y66" t="s">
        <v>40</v>
      </c>
      <c r="Z66" t="s">
        <v>41</v>
      </c>
      <c r="AA66" s="3">
        <v>771.23</v>
      </c>
    </row>
    <row r="67" spans="1:27" x14ac:dyDescent="0.25">
      <c r="A67" t="s">
        <v>155</v>
      </c>
      <c r="B67" t="s">
        <v>119</v>
      </c>
      <c r="C67" s="3">
        <v>33.700000000000003</v>
      </c>
      <c r="D67" s="5">
        <v>72</v>
      </c>
      <c r="E67" s="5">
        <v>457</v>
      </c>
      <c r="F67" s="3">
        <v>8354.58</v>
      </c>
      <c r="G67" t="s">
        <v>55</v>
      </c>
      <c r="H67" s="5">
        <v>57</v>
      </c>
      <c r="I67" s="5">
        <v>24</v>
      </c>
      <c r="J67" s="5" t="str">
        <f t="shared" ref="J67:J101" si="2">IF(I67&lt;=7, "Fast", IF(I67&lt;=14, "Moderate", "Slow"))</f>
        <v>Slow</v>
      </c>
      <c r="K67" s="5">
        <v>54</v>
      </c>
      <c r="L67" s="5" t="str">
        <f t="shared" ref="L67:L101" si="3">IF(K67&lt;=20, "Small", IF(K67&lt;=60, "Medium", "Large"))</f>
        <v>Medium</v>
      </c>
      <c r="M67" s="5">
        <v>8</v>
      </c>
      <c r="N67" t="s">
        <v>43</v>
      </c>
      <c r="O67" s="3">
        <v>6.58</v>
      </c>
      <c r="P67" t="s">
        <v>44</v>
      </c>
      <c r="Q67" t="s">
        <v>45</v>
      </c>
      <c r="R67" s="5">
        <v>16</v>
      </c>
      <c r="S67" s="5">
        <v>358</v>
      </c>
      <c r="T67" s="5">
        <v>21</v>
      </c>
      <c r="U67" s="3">
        <v>1.6</v>
      </c>
      <c r="V67" t="s">
        <v>46</v>
      </c>
      <c r="W67" s="7">
        <v>4.9110959548423301</v>
      </c>
      <c r="X67" s="7">
        <f>Supply_Chain_Table[[#This Row],[Defect Rates]]/100</f>
        <v>4.9110959548423302E-2</v>
      </c>
      <c r="Y67" t="s">
        <v>47</v>
      </c>
      <c r="Z67" t="s">
        <v>41</v>
      </c>
      <c r="AA67" s="3">
        <v>555.86</v>
      </c>
    </row>
    <row r="68" spans="1:27" x14ac:dyDescent="0.25">
      <c r="A68" t="s">
        <v>155</v>
      </c>
      <c r="B68" t="s">
        <v>120</v>
      </c>
      <c r="C68" s="3">
        <v>26.03</v>
      </c>
      <c r="D68" s="5">
        <v>52</v>
      </c>
      <c r="E68" s="5">
        <v>704</v>
      </c>
      <c r="F68" s="3">
        <v>8367.7199999999993</v>
      </c>
      <c r="G68" t="s">
        <v>35</v>
      </c>
      <c r="H68" s="5">
        <v>13</v>
      </c>
      <c r="I68" s="5">
        <v>17</v>
      </c>
      <c r="J68" s="5" t="str">
        <f t="shared" si="2"/>
        <v>Slow</v>
      </c>
      <c r="K68" s="5">
        <v>19</v>
      </c>
      <c r="L68" s="5" t="str">
        <f t="shared" si="3"/>
        <v>Small</v>
      </c>
      <c r="M68" s="5">
        <v>8</v>
      </c>
      <c r="N68" t="s">
        <v>36</v>
      </c>
      <c r="O68" s="3">
        <v>2.2200000000000002</v>
      </c>
      <c r="P68" t="s">
        <v>44</v>
      </c>
      <c r="Q68" t="s">
        <v>45</v>
      </c>
      <c r="R68" s="5">
        <v>24</v>
      </c>
      <c r="S68" s="5">
        <v>867</v>
      </c>
      <c r="T68" s="5">
        <v>28</v>
      </c>
      <c r="U68" s="3">
        <v>42.08</v>
      </c>
      <c r="V68" t="s">
        <v>46</v>
      </c>
      <c r="W68" s="7">
        <v>3.44806328834026</v>
      </c>
      <c r="X68" s="7">
        <f>Supply_Chain_Table[[#This Row],[Defect Rates]]/100</f>
        <v>3.4480632883402598E-2</v>
      </c>
      <c r="Y68" t="s">
        <v>31</v>
      </c>
      <c r="Z68" t="s">
        <v>48</v>
      </c>
      <c r="AA68" s="3">
        <v>393.84</v>
      </c>
    </row>
    <row r="69" spans="1:27" x14ac:dyDescent="0.25">
      <c r="A69" t="s">
        <v>155</v>
      </c>
      <c r="B69" t="s">
        <v>121</v>
      </c>
      <c r="C69" s="3">
        <v>87.76</v>
      </c>
      <c r="D69" s="5">
        <v>16</v>
      </c>
      <c r="E69" s="5">
        <v>513</v>
      </c>
      <c r="F69" s="3">
        <v>9473.7999999999993</v>
      </c>
      <c r="G69" t="s">
        <v>38</v>
      </c>
      <c r="H69" s="5">
        <v>12</v>
      </c>
      <c r="I69" s="5">
        <v>9</v>
      </c>
      <c r="J69" s="5" t="str">
        <f t="shared" si="2"/>
        <v>Moderate</v>
      </c>
      <c r="K69" s="5">
        <v>71</v>
      </c>
      <c r="L69" s="5" t="str">
        <f t="shared" si="3"/>
        <v>Large</v>
      </c>
      <c r="M69" s="5">
        <v>9</v>
      </c>
      <c r="N69" t="s">
        <v>43</v>
      </c>
      <c r="O69" s="3">
        <v>9.15</v>
      </c>
      <c r="P69" t="s">
        <v>39</v>
      </c>
      <c r="Q69" t="s">
        <v>29</v>
      </c>
      <c r="R69" s="5">
        <v>10</v>
      </c>
      <c r="S69" s="5">
        <v>198</v>
      </c>
      <c r="T69" s="5">
        <v>11</v>
      </c>
      <c r="U69" s="3">
        <v>7.06</v>
      </c>
      <c r="V69" t="s">
        <v>64</v>
      </c>
      <c r="W69" s="7">
        <v>0.131955444311814</v>
      </c>
      <c r="X69" s="7">
        <f>Supply_Chain_Table[[#This Row],[Defect Rates]]/100</f>
        <v>1.31955444311814E-3</v>
      </c>
      <c r="Y69" t="s">
        <v>56</v>
      </c>
      <c r="Z69" t="s">
        <v>41</v>
      </c>
      <c r="AA69" s="3">
        <v>169.27</v>
      </c>
    </row>
    <row r="70" spans="1:27" x14ac:dyDescent="0.25">
      <c r="A70" t="s">
        <v>154</v>
      </c>
      <c r="B70" t="s">
        <v>122</v>
      </c>
      <c r="C70" s="3">
        <v>37.93</v>
      </c>
      <c r="D70" s="5">
        <v>29</v>
      </c>
      <c r="E70" s="5">
        <v>163</v>
      </c>
      <c r="F70" s="3">
        <v>3550.22</v>
      </c>
      <c r="G70" t="s">
        <v>158</v>
      </c>
      <c r="H70" s="5">
        <v>0</v>
      </c>
      <c r="I70" s="5">
        <v>8</v>
      </c>
      <c r="J70" s="5" t="str">
        <f t="shared" si="2"/>
        <v>Moderate</v>
      </c>
      <c r="K70" s="5">
        <v>58</v>
      </c>
      <c r="L70" s="5" t="str">
        <f t="shared" si="3"/>
        <v>Medium</v>
      </c>
      <c r="M70" s="5">
        <v>8</v>
      </c>
      <c r="N70" t="s">
        <v>27</v>
      </c>
      <c r="O70" s="3">
        <v>1.19</v>
      </c>
      <c r="P70" t="s">
        <v>61</v>
      </c>
      <c r="Q70" t="s">
        <v>53</v>
      </c>
      <c r="R70" s="5">
        <v>2</v>
      </c>
      <c r="S70" s="5">
        <v>375</v>
      </c>
      <c r="T70" s="5">
        <v>18</v>
      </c>
      <c r="U70" s="3">
        <v>97.11</v>
      </c>
      <c r="V70" t="s">
        <v>46</v>
      </c>
      <c r="W70" s="7">
        <v>1.9834678721741801</v>
      </c>
      <c r="X70" s="7">
        <f>Supply_Chain_Table[[#This Row],[Defect Rates]]/100</f>
        <v>1.98346787217418E-2</v>
      </c>
      <c r="Y70" t="s">
        <v>47</v>
      </c>
      <c r="Z70" t="s">
        <v>48</v>
      </c>
      <c r="AA70" s="3">
        <v>299.70999999999998</v>
      </c>
    </row>
    <row r="71" spans="1:27" x14ac:dyDescent="0.25">
      <c r="A71" t="s">
        <v>155</v>
      </c>
      <c r="B71" t="s">
        <v>123</v>
      </c>
      <c r="C71" s="3">
        <v>54.87</v>
      </c>
      <c r="D71" s="5">
        <v>62</v>
      </c>
      <c r="E71" s="5">
        <v>511</v>
      </c>
      <c r="F71" s="3">
        <v>1752.38</v>
      </c>
      <c r="G71" t="s">
        <v>158</v>
      </c>
      <c r="H71" s="5">
        <v>95</v>
      </c>
      <c r="I71" s="5">
        <v>1</v>
      </c>
      <c r="J71" s="5" t="str">
        <f t="shared" si="2"/>
        <v>Fast</v>
      </c>
      <c r="K71" s="5">
        <v>27</v>
      </c>
      <c r="L71" s="5" t="str">
        <f t="shared" si="3"/>
        <v>Medium</v>
      </c>
      <c r="M71" s="5">
        <v>3</v>
      </c>
      <c r="N71" t="s">
        <v>27</v>
      </c>
      <c r="O71" s="3">
        <v>9.7100000000000009</v>
      </c>
      <c r="P71" t="s">
        <v>52</v>
      </c>
      <c r="Q71" t="s">
        <v>45</v>
      </c>
      <c r="R71" s="5">
        <v>9</v>
      </c>
      <c r="S71" s="5">
        <v>862</v>
      </c>
      <c r="T71" s="5">
        <v>7</v>
      </c>
      <c r="U71" s="3">
        <v>77.63</v>
      </c>
      <c r="V71" t="s">
        <v>30</v>
      </c>
      <c r="W71" s="7">
        <v>1.3623879886490999</v>
      </c>
      <c r="X71" s="7">
        <f>Supply_Chain_Table[[#This Row],[Defect Rates]]/100</f>
        <v>1.3623879886490999E-2</v>
      </c>
      <c r="Y71" t="s">
        <v>40</v>
      </c>
      <c r="Z71" t="s">
        <v>48</v>
      </c>
      <c r="AA71" s="3">
        <v>207.66</v>
      </c>
    </row>
    <row r="72" spans="1:27" x14ac:dyDescent="0.25">
      <c r="A72" t="s">
        <v>154</v>
      </c>
      <c r="B72" t="s">
        <v>124</v>
      </c>
      <c r="C72" s="3">
        <v>47.91</v>
      </c>
      <c r="D72" s="5">
        <v>90</v>
      </c>
      <c r="E72" s="5">
        <v>32</v>
      </c>
      <c r="F72" s="3">
        <v>7014.89</v>
      </c>
      <c r="G72" t="s">
        <v>35</v>
      </c>
      <c r="H72" s="5">
        <v>10</v>
      </c>
      <c r="I72" s="5">
        <v>12</v>
      </c>
      <c r="J72" s="5" t="str">
        <f t="shared" si="2"/>
        <v>Moderate</v>
      </c>
      <c r="K72" s="5">
        <v>22</v>
      </c>
      <c r="L72" s="5" t="str">
        <f t="shared" si="3"/>
        <v>Medium</v>
      </c>
      <c r="M72" s="5">
        <v>4</v>
      </c>
      <c r="N72" t="s">
        <v>27</v>
      </c>
      <c r="O72" s="3">
        <v>6.32</v>
      </c>
      <c r="P72" t="s">
        <v>39</v>
      </c>
      <c r="Q72" t="s">
        <v>53</v>
      </c>
      <c r="R72" s="5">
        <v>22</v>
      </c>
      <c r="S72" s="5">
        <v>775</v>
      </c>
      <c r="T72" s="5">
        <v>16</v>
      </c>
      <c r="U72" s="3">
        <v>11.44</v>
      </c>
      <c r="V72" t="s">
        <v>64</v>
      </c>
      <c r="W72" s="7">
        <v>1.8305755986122301</v>
      </c>
      <c r="X72" s="7">
        <f>Supply_Chain_Table[[#This Row],[Defect Rates]]/100</f>
        <v>1.8305755986122302E-2</v>
      </c>
      <c r="Y72" t="s">
        <v>31</v>
      </c>
      <c r="Z72" t="s">
        <v>41</v>
      </c>
      <c r="AA72" s="3">
        <v>183.27</v>
      </c>
    </row>
    <row r="73" spans="1:27" x14ac:dyDescent="0.25">
      <c r="A73" t="s">
        <v>156</v>
      </c>
      <c r="B73" t="s">
        <v>125</v>
      </c>
      <c r="C73" s="3">
        <v>6.38</v>
      </c>
      <c r="D73" s="5">
        <v>14</v>
      </c>
      <c r="E73" s="5">
        <v>637</v>
      </c>
      <c r="F73" s="3">
        <v>8180.34</v>
      </c>
      <c r="G73" t="s">
        <v>35</v>
      </c>
      <c r="H73" s="5">
        <v>76</v>
      </c>
      <c r="I73" s="5">
        <v>2</v>
      </c>
      <c r="J73" s="5" t="str">
        <f t="shared" si="2"/>
        <v>Fast</v>
      </c>
      <c r="K73" s="5">
        <v>26</v>
      </c>
      <c r="L73" s="5" t="str">
        <f t="shared" si="3"/>
        <v>Medium</v>
      </c>
      <c r="M73" s="5">
        <v>6</v>
      </c>
      <c r="N73" t="s">
        <v>36</v>
      </c>
      <c r="O73" s="3">
        <v>9.23</v>
      </c>
      <c r="P73" t="s">
        <v>61</v>
      </c>
      <c r="Q73" t="s">
        <v>53</v>
      </c>
      <c r="R73" s="5">
        <v>2</v>
      </c>
      <c r="S73" s="5">
        <v>258</v>
      </c>
      <c r="T73" s="5">
        <v>10</v>
      </c>
      <c r="U73" s="3">
        <v>30.66</v>
      </c>
      <c r="V73" t="s">
        <v>30</v>
      </c>
      <c r="W73" s="7">
        <v>2.07875060787496</v>
      </c>
      <c r="X73" s="7">
        <f>Supply_Chain_Table[[#This Row],[Defect Rates]]/100</f>
        <v>2.0787506078749601E-2</v>
      </c>
      <c r="Y73" t="s">
        <v>31</v>
      </c>
      <c r="Z73" t="s">
        <v>48</v>
      </c>
      <c r="AA73" s="3">
        <v>405.17</v>
      </c>
    </row>
    <row r="74" spans="1:27" x14ac:dyDescent="0.25">
      <c r="A74" t="s">
        <v>156</v>
      </c>
      <c r="B74" t="s">
        <v>126</v>
      </c>
      <c r="C74" s="3">
        <v>90.2</v>
      </c>
      <c r="D74" s="5">
        <v>88</v>
      </c>
      <c r="E74" s="5">
        <v>478</v>
      </c>
      <c r="F74" s="3">
        <v>2633.12</v>
      </c>
      <c r="G74" t="s">
        <v>158</v>
      </c>
      <c r="H74" s="5">
        <v>57</v>
      </c>
      <c r="I74" s="5">
        <v>29</v>
      </c>
      <c r="J74" s="5" t="str">
        <f t="shared" si="2"/>
        <v>Slow</v>
      </c>
      <c r="K74" s="5">
        <v>77</v>
      </c>
      <c r="L74" s="5" t="str">
        <f t="shared" si="3"/>
        <v>Large</v>
      </c>
      <c r="M74" s="5">
        <v>9</v>
      </c>
      <c r="N74" t="s">
        <v>36</v>
      </c>
      <c r="O74" s="3">
        <v>6.6</v>
      </c>
      <c r="P74" t="s">
        <v>39</v>
      </c>
      <c r="Q74" t="s">
        <v>53</v>
      </c>
      <c r="R74" s="5">
        <v>21</v>
      </c>
      <c r="S74" s="5">
        <v>152</v>
      </c>
      <c r="T74" s="5">
        <v>11</v>
      </c>
      <c r="U74" s="3">
        <v>55.76</v>
      </c>
      <c r="V74" t="s">
        <v>30</v>
      </c>
      <c r="W74" s="7">
        <v>3.2133296074383</v>
      </c>
      <c r="X74" s="7">
        <f>Supply_Chain_Table[[#This Row],[Defect Rates]]/100</f>
        <v>3.2133296074382998E-2</v>
      </c>
      <c r="Y74" t="s">
        <v>47</v>
      </c>
      <c r="Z74" t="s">
        <v>32</v>
      </c>
      <c r="AA74" s="3">
        <v>677.94</v>
      </c>
    </row>
    <row r="75" spans="1:27" x14ac:dyDescent="0.25">
      <c r="A75" t="s">
        <v>156</v>
      </c>
      <c r="B75" t="s">
        <v>127</v>
      </c>
      <c r="C75" s="3">
        <v>83.85</v>
      </c>
      <c r="D75" s="5">
        <v>41</v>
      </c>
      <c r="E75" s="5">
        <v>375</v>
      </c>
      <c r="F75" s="3">
        <v>7910.89</v>
      </c>
      <c r="G75" t="s">
        <v>55</v>
      </c>
      <c r="H75" s="5">
        <v>17</v>
      </c>
      <c r="I75" s="5">
        <v>25</v>
      </c>
      <c r="J75" s="5" t="str">
        <f t="shared" si="2"/>
        <v>Slow</v>
      </c>
      <c r="K75" s="5">
        <v>66</v>
      </c>
      <c r="L75" s="5" t="str">
        <f t="shared" si="3"/>
        <v>Large</v>
      </c>
      <c r="M75" s="5">
        <v>5</v>
      </c>
      <c r="N75" t="s">
        <v>27</v>
      </c>
      <c r="O75" s="3">
        <v>1.51</v>
      </c>
      <c r="P75" t="s">
        <v>52</v>
      </c>
      <c r="Q75" t="s">
        <v>62</v>
      </c>
      <c r="R75" s="5">
        <v>13</v>
      </c>
      <c r="S75" s="5">
        <v>444</v>
      </c>
      <c r="T75" s="5">
        <v>4</v>
      </c>
      <c r="U75" s="3">
        <v>46.87</v>
      </c>
      <c r="V75" t="s">
        <v>46</v>
      </c>
      <c r="W75" s="7">
        <v>4.6205460645137002</v>
      </c>
      <c r="X75" s="7">
        <f>Supply_Chain_Table[[#This Row],[Defect Rates]]/100</f>
        <v>4.6205460645137003E-2</v>
      </c>
      <c r="Y75" t="s">
        <v>31</v>
      </c>
      <c r="Z75" t="s">
        <v>48</v>
      </c>
      <c r="AA75" s="3">
        <v>866.47</v>
      </c>
    </row>
    <row r="76" spans="1:27" x14ac:dyDescent="0.25">
      <c r="A76" t="s">
        <v>154</v>
      </c>
      <c r="B76" t="s">
        <v>128</v>
      </c>
      <c r="C76" s="3">
        <v>3.17</v>
      </c>
      <c r="D76" s="5">
        <v>64</v>
      </c>
      <c r="E76" s="5">
        <v>904</v>
      </c>
      <c r="F76" s="3">
        <v>5709.95</v>
      </c>
      <c r="G76" t="s">
        <v>35</v>
      </c>
      <c r="H76" s="5">
        <v>41</v>
      </c>
      <c r="I76" s="5">
        <v>6</v>
      </c>
      <c r="J76" s="5" t="str">
        <f t="shared" si="2"/>
        <v>Fast</v>
      </c>
      <c r="K76" s="5">
        <v>1</v>
      </c>
      <c r="L76" s="5" t="str">
        <f t="shared" si="3"/>
        <v>Small</v>
      </c>
      <c r="M76" s="5">
        <v>5</v>
      </c>
      <c r="N76" t="s">
        <v>36</v>
      </c>
      <c r="O76" s="3">
        <v>5.24</v>
      </c>
      <c r="P76" t="s">
        <v>52</v>
      </c>
      <c r="Q76" t="s">
        <v>50</v>
      </c>
      <c r="R76" s="5">
        <v>1</v>
      </c>
      <c r="S76" s="5">
        <v>919</v>
      </c>
      <c r="T76" s="5">
        <v>9</v>
      </c>
      <c r="U76" s="3">
        <v>80.58</v>
      </c>
      <c r="V76" t="s">
        <v>46</v>
      </c>
      <c r="W76" s="7">
        <v>0.39661272410993498</v>
      </c>
      <c r="X76" s="7">
        <f>Supply_Chain_Table[[#This Row],[Defect Rates]]/100</f>
        <v>3.9661272410993495E-3</v>
      </c>
      <c r="Y76" t="s">
        <v>47</v>
      </c>
      <c r="Z76" t="s">
        <v>48</v>
      </c>
      <c r="AA76" s="3">
        <v>341.55</v>
      </c>
    </row>
    <row r="77" spans="1:27" x14ac:dyDescent="0.25">
      <c r="A77" t="s">
        <v>155</v>
      </c>
      <c r="B77" t="s">
        <v>129</v>
      </c>
      <c r="C77" s="3">
        <v>93</v>
      </c>
      <c r="D77" s="5">
        <v>29</v>
      </c>
      <c r="E77" s="5">
        <v>106</v>
      </c>
      <c r="F77" s="3">
        <v>1889.07</v>
      </c>
      <c r="G77" t="s">
        <v>158</v>
      </c>
      <c r="H77" s="5">
        <v>16</v>
      </c>
      <c r="I77" s="5">
        <v>20</v>
      </c>
      <c r="J77" s="5" t="str">
        <f t="shared" si="2"/>
        <v>Slow</v>
      </c>
      <c r="K77" s="5">
        <v>56</v>
      </c>
      <c r="L77" s="5" t="str">
        <f t="shared" si="3"/>
        <v>Medium</v>
      </c>
      <c r="M77" s="5">
        <v>10</v>
      </c>
      <c r="N77" t="s">
        <v>43</v>
      </c>
      <c r="O77" s="3">
        <v>2.4700000000000002</v>
      </c>
      <c r="P77" t="s">
        <v>39</v>
      </c>
      <c r="Q77" t="s">
        <v>62</v>
      </c>
      <c r="R77" s="5">
        <v>25</v>
      </c>
      <c r="S77" s="5">
        <v>759</v>
      </c>
      <c r="T77" s="5">
        <v>11</v>
      </c>
      <c r="U77" s="3">
        <v>48.06</v>
      </c>
      <c r="V77" t="s">
        <v>64</v>
      </c>
      <c r="W77" s="7">
        <v>2.0300690886687498</v>
      </c>
      <c r="X77" s="7">
        <f>Supply_Chain_Table[[#This Row],[Defect Rates]]/100</f>
        <v>2.0300690886687497E-2</v>
      </c>
      <c r="Y77" t="s">
        <v>40</v>
      </c>
      <c r="Z77" t="s">
        <v>41</v>
      </c>
      <c r="AA77" s="3">
        <v>873.13</v>
      </c>
    </row>
    <row r="78" spans="1:27" x14ac:dyDescent="0.25">
      <c r="A78" t="s">
        <v>154</v>
      </c>
      <c r="B78" t="s">
        <v>130</v>
      </c>
      <c r="C78" s="3">
        <v>69.11</v>
      </c>
      <c r="D78" s="5">
        <v>23</v>
      </c>
      <c r="E78" s="5">
        <v>241</v>
      </c>
      <c r="F78" s="3">
        <v>5328.38</v>
      </c>
      <c r="G78" t="s">
        <v>55</v>
      </c>
      <c r="H78" s="5">
        <v>38</v>
      </c>
      <c r="I78" s="5">
        <v>1</v>
      </c>
      <c r="J78" s="5" t="str">
        <f t="shared" si="2"/>
        <v>Fast</v>
      </c>
      <c r="K78" s="5">
        <v>22</v>
      </c>
      <c r="L78" s="5" t="str">
        <f t="shared" si="3"/>
        <v>Medium</v>
      </c>
      <c r="M78" s="5">
        <v>10</v>
      </c>
      <c r="N78" t="s">
        <v>36</v>
      </c>
      <c r="O78" s="3">
        <v>7.05</v>
      </c>
      <c r="P78" t="s">
        <v>61</v>
      </c>
      <c r="Q78" t="s">
        <v>53</v>
      </c>
      <c r="R78" s="5">
        <v>25</v>
      </c>
      <c r="S78" s="5">
        <v>985</v>
      </c>
      <c r="T78" s="5">
        <v>24</v>
      </c>
      <c r="U78" s="3">
        <v>64.319999999999993</v>
      </c>
      <c r="V78" t="s">
        <v>30</v>
      </c>
      <c r="W78" s="7">
        <v>2.1800374515822099</v>
      </c>
      <c r="X78" s="7">
        <f>Supply_Chain_Table[[#This Row],[Defect Rates]]/100</f>
        <v>2.1800374515822098E-2</v>
      </c>
      <c r="Y78" t="s">
        <v>47</v>
      </c>
      <c r="Z78" t="s">
        <v>48</v>
      </c>
      <c r="AA78" s="3">
        <v>997.41</v>
      </c>
    </row>
    <row r="79" spans="1:27" x14ac:dyDescent="0.25">
      <c r="A79" t="s">
        <v>154</v>
      </c>
      <c r="B79" t="s">
        <v>131</v>
      </c>
      <c r="C79" s="3">
        <v>57.45</v>
      </c>
      <c r="D79" s="5">
        <v>14</v>
      </c>
      <c r="E79" s="5">
        <v>359</v>
      </c>
      <c r="F79" s="3">
        <v>2483.7600000000002</v>
      </c>
      <c r="G79" t="s">
        <v>38</v>
      </c>
      <c r="H79" s="5">
        <v>96</v>
      </c>
      <c r="I79" s="5">
        <v>28</v>
      </c>
      <c r="J79" s="5" t="str">
        <f t="shared" si="2"/>
        <v>Slow</v>
      </c>
      <c r="K79" s="5">
        <v>57</v>
      </c>
      <c r="L79" s="5" t="str">
        <f t="shared" si="3"/>
        <v>Medium</v>
      </c>
      <c r="M79" s="5">
        <v>4</v>
      </c>
      <c r="N79" t="s">
        <v>27</v>
      </c>
      <c r="O79" s="3">
        <v>6.78</v>
      </c>
      <c r="P79" t="s">
        <v>39</v>
      </c>
      <c r="Q79" t="s">
        <v>45</v>
      </c>
      <c r="R79" s="5">
        <v>26</v>
      </c>
      <c r="S79" s="5">
        <v>334</v>
      </c>
      <c r="T79" s="5">
        <v>5</v>
      </c>
      <c r="U79" s="3">
        <v>42.95</v>
      </c>
      <c r="V79" t="s">
        <v>64</v>
      </c>
      <c r="W79" s="7">
        <v>3.0551418183075398</v>
      </c>
      <c r="X79" s="7">
        <f>Supply_Chain_Table[[#This Row],[Defect Rates]]/100</f>
        <v>3.0551418183075399E-2</v>
      </c>
      <c r="Y79" t="s">
        <v>31</v>
      </c>
      <c r="Z79" t="s">
        <v>32</v>
      </c>
      <c r="AA79" s="3">
        <v>852.57</v>
      </c>
    </row>
    <row r="80" spans="1:27" x14ac:dyDescent="0.25">
      <c r="A80" t="s">
        <v>154</v>
      </c>
      <c r="B80" t="s">
        <v>132</v>
      </c>
      <c r="C80" s="3">
        <v>6.31</v>
      </c>
      <c r="D80" s="5">
        <v>50</v>
      </c>
      <c r="E80" s="5">
        <v>946</v>
      </c>
      <c r="F80" s="3">
        <v>1292.46</v>
      </c>
      <c r="G80" t="s">
        <v>38</v>
      </c>
      <c r="H80" s="5">
        <v>5</v>
      </c>
      <c r="I80" s="5">
        <v>4</v>
      </c>
      <c r="J80" s="5" t="str">
        <f t="shared" si="2"/>
        <v>Fast</v>
      </c>
      <c r="K80" s="5">
        <v>51</v>
      </c>
      <c r="L80" s="5" t="str">
        <f t="shared" si="3"/>
        <v>Medium</v>
      </c>
      <c r="M80" s="5">
        <v>5</v>
      </c>
      <c r="N80" t="s">
        <v>27</v>
      </c>
      <c r="O80" s="3">
        <v>8.4700000000000006</v>
      </c>
      <c r="P80" t="s">
        <v>44</v>
      </c>
      <c r="Q80" t="s">
        <v>29</v>
      </c>
      <c r="R80" s="5">
        <v>25</v>
      </c>
      <c r="S80" s="5">
        <v>858</v>
      </c>
      <c r="T80" s="5">
        <v>21</v>
      </c>
      <c r="U80" s="3">
        <v>71.13</v>
      </c>
      <c r="V80" t="s">
        <v>30</v>
      </c>
      <c r="W80" s="7">
        <v>4.0968813324704501</v>
      </c>
      <c r="X80" s="7">
        <f>Supply_Chain_Table[[#This Row],[Defect Rates]]/100</f>
        <v>4.0968813324704499E-2</v>
      </c>
      <c r="Y80" t="s">
        <v>56</v>
      </c>
      <c r="Z80" t="s">
        <v>41</v>
      </c>
      <c r="AA80" s="3">
        <v>323.58999999999997</v>
      </c>
    </row>
    <row r="81" spans="1:27" x14ac:dyDescent="0.25">
      <c r="A81" t="s">
        <v>154</v>
      </c>
      <c r="B81" t="s">
        <v>133</v>
      </c>
      <c r="C81" s="3">
        <v>57.06</v>
      </c>
      <c r="D81" s="5">
        <v>56</v>
      </c>
      <c r="E81" s="5">
        <v>198</v>
      </c>
      <c r="F81" s="3">
        <v>7888.72</v>
      </c>
      <c r="G81" t="s">
        <v>158</v>
      </c>
      <c r="H81" s="5">
        <v>31</v>
      </c>
      <c r="I81" s="5">
        <v>25</v>
      </c>
      <c r="J81" s="5" t="str">
        <f t="shared" si="2"/>
        <v>Slow</v>
      </c>
      <c r="K81" s="5">
        <v>20</v>
      </c>
      <c r="L81" s="5" t="str">
        <f t="shared" si="3"/>
        <v>Small</v>
      </c>
      <c r="M81" s="5">
        <v>1</v>
      </c>
      <c r="N81" t="s">
        <v>27</v>
      </c>
      <c r="O81" s="3">
        <v>6.5</v>
      </c>
      <c r="P81" t="s">
        <v>28</v>
      </c>
      <c r="Q81" t="s">
        <v>53</v>
      </c>
      <c r="R81" s="5">
        <v>5</v>
      </c>
      <c r="S81" s="5">
        <v>228</v>
      </c>
      <c r="T81" s="5">
        <v>12</v>
      </c>
      <c r="U81" s="3">
        <v>57.87</v>
      </c>
      <c r="V81" t="s">
        <v>30</v>
      </c>
      <c r="W81" s="7">
        <v>0.16587162748060799</v>
      </c>
      <c r="X81" s="7">
        <f>Supply_Chain_Table[[#This Row],[Defect Rates]]/100</f>
        <v>1.65871627480608E-3</v>
      </c>
      <c r="Y81" t="s">
        <v>40</v>
      </c>
      <c r="Z81" t="s">
        <v>41</v>
      </c>
      <c r="AA81" s="3">
        <v>351.5</v>
      </c>
    </row>
    <row r="82" spans="1:27" x14ac:dyDescent="0.25">
      <c r="A82" t="s">
        <v>155</v>
      </c>
      <c r="B82" t="s">
        <v>134</v>
      </c>
      <c r="C82" s="3">
        <v>91.13</v>
      </c>
      <c r="D82" s="5">
        <v>75</v>
      </c>
      <c r="E82" s="5">
        <v>872</v>
      </c>
      <c r="F82" s="3">
        <v>8651.67</v>
      </c>
      <c r="G82" t="s">
        <v>38</v>
      </c>
      <c r="H82" s="5">
        <v>39</v>
      </c>
      <c r="I82" s="5">
        <v>14</v>
      </c>
      <c r="J82" s="5" t="str">
        <f t="shared" si="2"/>
        <v>Moderate</v>
      </c>
      <c r="K82" s="5">
        <v>41</v>
      </c>
      <c r="L82" s="5" t="str">
        <f t="shared" si="3"/>
        <v>Medium</v>
      </c>
      <c r="M82" s="5">
        <v>2</v>
      </c>
      <c r="N82" t="s">
        <v>43</v>
      </c>
      <c r="O82" s="3">
        <v>2.83</v>
      </c>
      <c r="P82" t="s">
        <v>28</v>
      </c>
      <c r="Q82" t="s">
        <v>62</v>
      </c>
      <c r="R82" s="5">
        <v>8</v>
      </c>
      <c r="S82" s="5">
        <v>202</v>
      </c>
      <c r="T82" s="5">
        <v>5</v>
      </c>
      <c r="U82" s="3">
        <v>76.959999999999994</v>
      </c>
      <c r="V82" t="s">
        <v>46</v>
      </c>
      <c r="W82" s="7">
        <v>2.8496621985053299</v>
      </c>
      <c r="X82" s="7">
        <f>Supply_Chain_Table[[#This Row],[Defect Rates]]/100</f>
        <v>2.8496621985053299E-2</v>
      </c>
      <c r="Y82" t="s">
        <v>56</v>
      </c>
      <c r="Z82" t="s">
        <v>32</v>
      </c>
      <c r="AA82" s="3">
        <v>787.78</v>
      </c>
    </row>
    <row r="83" spans="1:27" x14ac:dyDescent="0.25">
      <c r="A83" t="s">
        <v>154</v>
      </c>
      <c r="B83" t="s">
        <v>135</v>
      </c>
      <c r="C83" s="3">
        <v>72.819999999999993</v>
      </c>
      <c r="D83" s="5">
        <v>9</v>
      </c>
      <c r="E83" s="5">
        <v>774</v>
      </c>
      <c r="F83" s="3">
        <v>4384.41</v>
      </c>
      <c r="G83" t="s">
        <v>38</v>
      </c>
      <c r="H83" s="5">
        <v>48</v>
      </c>
      <c r="I83" s="5">
        <v>6</v>
      </c>
      <c r="J83" s="5" t="str">
        <f t="shared" si="2"/>
        <v>Fast</v>
      </c>
      <c r="K83" s="5">
        <v>8</v>
      </c>
      <c r="L83" s="5" t="str">
        <f t="shared" si="3"/>
        <v>Small</v>
      </c>
      <c r="M83" s="5">
        <v>5</v>
      </c>
      <c r="N83" t="s">
        <v>27</v>
      </c>
      <c r="O83" s="3">
        <v>4.07</v>
      </c>
      <c r="P83" t="s">
        <v>28</v>
      </c>
      <c r="Q83" t="s">
        <v>50</v>
      </c>
      <c r="R83" s="5">
        <v>28</v>
      </c>
      <c r="S83" s="5">
        <v>698</v>
      </c>
      <c r="T83" s="5">
        <v>1</v>
      </c>
      <c r="U83" s="3">
        <v>19.79</v>
      </c>
      <c r="V83" t="s">
        <v>30</v>
      </c>
      <c r="W83" s="7">
        <v>2.54754712154871</v>
      </c>
      <c r="X83" s="7">
        <f>Supply_Chain_Table[[#This Row],[Defect Rates]]/100</f>
        <v>2.54754712154871E-2</v>
      </c>
      <c r="Y83" t="s">
        <v>47</v>
      </c>
      <c r="Z83" t="s">
        <v>32</v>
      </c>
      <c r="AA83" s="3">
        <v>276.77999999999997</v>
      </c>
    </row>
    <row r="84" spans="1:27" x14ac:dyDescent="0.25">
      <c r="A84" t="s">
        <v>155</v>
      </c>
      <c r="B84" t="s">
        <v>136</v>
      </c>
      <c r="C84" s="3">
        <v>17.03</v>
      </c>
      <c r="D84" s="5">
        <v>13</v>
      </c>
      <c r="E84" s="5">
        <v>336</v>
      </c>
      <c r="F84" s="3">
        <v>2943.38</v>
      </c>
      <c r="G84" t="s">
        <v>38</v>
      </c>
      <c r="H84" s="5">
        <v>42</v>
      </c>
      <c r="I84" s="5">
        <v>19</v>
      </c>
      <c r="J84" s="5" t="str">
        <f t="shared" si="2"/>
        <v>Slow</v>
      </c>
      <c r="K84" s="5">
        <v>72</v>
      </c>
      <c r="L84" s="5" t="str">
        <f t="shared" si="3"/>
        <v>Large</v>
      </c>
      <c r="M84" s="5">
        <v>1</v>
      </c>
      <c r="N84" t="s">
        <v>36</v>
      </c>
      <c r="O84" s="3">
        <v>4.71</v>
      </c>
      <c r="P84" t="s">
        <v>61</v>
      </c>
      <c r="Q84" t="s">
        <v>29</v>
      </c>
      <c r="R84" s="5">
        <v>6</v>
      </c>
      <c r="S84" s="5">
        <v>955</v>
      </c>
      <c r="T84" s="5">
        <v>26</v>
      </c>
      <c r="U84" s="3">
        <v>4.47</v>
      </c>
      <c r="V84" t="s">
        <v>30</v>
      </c>
      <c r="W84" s="7">
        <v>4.1378770486223502</v>
      </c>
      <c r="X84" s="7">
        <f>Supply_Chain_Table[[#This Row],[Defect Rates]]/100</f>
        <v>4.1378770486223501E-2</v>
      </c>
      <c r="Y84" t="s">
        <v>31</v>
      </c>
      <c r="Z84" t="s">
        <v>41</v>
      </c>
      <c r="AA84" s="3">
        <v>589.98</v>
      </c>
    </row>
    <row r="85" spans="1:27" x14ac:dyDescent="0.25">
      <c r="A85" t="s">
        <v>154</v>
      </c>
      <c r="B85" t="s">
        <v>137</v>
      </c>
      <c r="C85" s="3">
        <v>68.91</v>
      </c>
      <c r="D85" s="5">
        <v>82</v>
      </c>
      <c r="E85" s="5">
        <v>663</v>
      </c>
      <c r="F85" s="3">
        <v>2411.75</v>
      </c>
      <c r="G85" t="s">
        <v>38</v>
      </c>
      <c r="H85" s="5">
        <v>65</v>
      </c>
      <c r="I85" s="5">
        <v>24</v>
      </c>
      <c r="J85" s="5" t="str">
        <f t="shared" si="2"/>
        <v>Slow</v>
      </c>
      <c r="K85" s="5">
        <v>7</v>
      </c>
      <c r="L85" s="5" t="str">
        <f t="shared" si="3"/>
        <v>Small</v>
      </c>
      <c r="M85" s="5">
        <v>8</v>
      </c>
      <c r="N85" t="s">
        <v>27</v>
      </c>
      <c r="O85" s="3">
        <v>4.95</v>
      </c>
      <c r="P85" t="s">
        <v>39</v>
      </c>
      <c r="Q85" t="s">
        <v>53</v>
      </c>
      <c r="R85" s="5">
        <v>20</v>
      </c>
      <c r="S85" s="5">
        <v>443</v>
      </c>
      <c r="T85" s="5">
        <v>5</v>
      </c>
      <c r="U85" s="3">
        <v>97.73</v>
      </c>
      <c r="V85" t="s">
        <v>46</v>
      </c>
      <c r="W85" s="7">
        <v>0.77300613406724705</v>
      </c>
      <c r="X85" s="7">
        <f>Supply_Chain_Table[[#This Row],[Defect Rates]]/100</f>
        <v>7.7300613406724701E-3</v>
      </c>
      <c r="Y85" t="s">
        <v>31</v>
      </c>
      <c r="Z85" t="s">
        <v>48</v>
      </c>
      <c r="AA85" s="3">
        <v>682.97</v>
      </c>
    </row>
    <row r="86" spans="1:27" x14ac:dyDescent="0.25">
      <c r="A86" t="s">
        <v>154</v>
      </c>
      <c r="B86" t="s">
        <v>138</v>
      </c>
      <c r="C86" s="3">
        <v>89.1</v>
      </c>
      <c r="D86" s="5">
        <v>99</v>
      </c>
      <c r="E86" s="5">
        <v>618</v>
      </c>
      <c r="F86" s="3">
        <v>2048.29</v>
      </c>
      <c r="G86" t="s">
        <v>38</v>
      </c>
      <c r="H86" s="5">
        <v>73</v>
      </c>
      <c r="I86" s="5">
        <v>26</v>
      </c>
      <c r="J86" s="5" t="str">
        <f t="shared" si="2"/>
        <v>Slow</v>
      </c>
      <c r="K86" s="5">
        <v>80</v>
      </c>
      <c r="L86" s="5" t="str">
        <f t="shared" si="3"/>
        <v>Large</v>
      </c>
      <c r="M86" s="5">
        <v>10</v>
      </c>
      <c r="N86" t="s">
        <v>36</v>
      </c>
      <c r="O86" s="3">
        <v>8.3800000000000008</v>
      </c>
      <c r="P86" t="s">
        <v>44</v>
      </c>
      <c r="Q86" t="s">
        <v>62</v>
      </c>
      <c r="R86" s="5">
        <v>24</v>
      </c>
      <c r="S86" s="5">
        <v>589</v>
      </c>
      <c r="T86" s="5">
        <v>22</v>
      </c>
      <c r="U86" s="3">
        <v>33.81</v>
      </c>
      <c r="V86" t="s">
        <v>64</v>
      </c>
      <c r="W86" s="7">
        <v>4.8434565771180402</v>
      </c>
      <c r="X86" s="7">
        <f>Supply_Chain_Table[[#This Row],[Defect Rates]]/100</f>
        <v>4.8434565771180403E-2</v>
      </c>
      <c r="Y86" t="s">
        <v>40</v>
      </c>
      <c r="Z86" t="s">
        <v>32</v>
      </c>
      <c r="AA86" s="3">
        <v>465.46</v>
      </c>
    </row>
    <row r="87" spans="1:27" x14ac:dyDescent="0.25">
      <c r="A87" t="s">
        <v>156</v>
      </c>
      <c r="B87" t="s">
        <v>139</v>
      </c>
      <c r="C87" s="3">
        <v>76.959999999999994</v>
      </c>
      <c r="D87" s="5">
        <v>83</v>
      </c>
      <c r="E87" s="5">
        <v>25</v>
      </c>
      <c r="F87" s="3">
        <v>8684.61</v>
      </c>
      <c r="G87" t="s">
        <v>35</v>
      </c>
      <c r="H87" s="5">
        <v>15</v>
      </c>
      <c r="I87" s="5">
        <v>18</v>
      </c>
      <c r="J87" s="5" t="str">
        <f t="shared" si="2"/>
        <v>Slow</v>
      </c>
      <c r="K87" s="5">
        <v>66</v>
      </c>
      <c r="L87" s="5" t="str">
        <f t="shared" si="3"/>
        <v>Large</v>
      </c>
      <c r="M87" s="5">
        <v>2</v>
      </c>
      <c r="N87" t="s">
        <v>43</v>
      </c>
      <c r="O87" s="3">
        <v>8.25</v>
      </c>
      <c r="P87" t="s">
        <v>44</v>
      </c>
      <c r="Q87" t="s">
        <v>62</v>
      </c>
      <c r="R87" s="5">
        <v>4</v>
      </c>
      <c r="S87" s="5">
        <v>211</v>
      </c>
      <c r="T87" s="5">
        <v>2</v>
      </c>
      <c r="U87" s="3">
        <v>69.930000000000007</v>
      </c>
      <c r="V87" t="s">
        <v>46</v>
      </c>
      <c r="W87" s="7">
        <v>1.3744289997457499</v>
      </c>
      <c r="X87" s="7">
        <f>Supply_Chain_Table[[#This Row],[Defect Rates]]/100</f>
        <v>1.37442899974575E-2</v>
      </c>
      <c r="Y87" t="s">
        <v>31</v>
      </c>
      <c r="Z87" t="s">
        <v>32</v>
      </c>
      <c r="AA87" s="3">
        <v>842.69</v>
      </c>
    </row>
    <row r="88" spans="1:27" x14ac:dyDescent="0.25">
      <c r="A88" t="s">
        <v>155</v>
      </c>
      <c r="B88" t="s">
        <v>140</v>
      </c>
      <c r="C88" s="3">
        <v>20</v>
      </c>
      <c r="D88" s="5">
        <v>18</v>
      </c>
      <c r="E88" s="5">
        <v>223</v>
      </c>
      <c r="F88" s="3">
        <v>1229.5899999999999</v>
      </c>
      <c r="G88" t="s">
        <v>38</v>
      </c>
      <c r="H88" s="5">
        <v>32</v>
      </c>
      <c r="I88" s="5">
        <v>14</v>
      </c>
      <c r="J88" s="5" t="str">
        <f t="shared" si="2"/>
        <v>Moderate</v>
      </c>
      <c r="K88" s="5">
        <v>22</v>
      </c>
      <c r="L88" s="5" t="str">
        <f t="shared" si="3"/>
        <v>Medium</v>
      </c>
      <c r="M88" s="5">
        <v>6</v>
      </c>
      <c r="N88" t="s">
        <v>27</v>
      </c>
      <c r="O88" s="3">
        <v>1.45</v>
      </c>
      <c r="P88" t="s">
        <v>39</v>
      </c>
      <c r="Q88" t="s">
        <v>29</v>
      </c>
      <c r="R88" s="5">
        <v>4</v>
      </c>
      <c r="S88" s="5">
        <v>569</v>
      </c>
      <c r="T88" s="5">
        <v>18</v>
      </c>
      <c r="U88" s="3">
        <v>74.61</v>
      </c>
      <c r="V88" t="s">
        <v>64</v>
      </c>
      <c r="W88" s="7">
        <v>2.0515129307662399</v>
      </c>
      <c r="X88" s="7">
        <f>Supply_Chain_Table[[#This Row],[Defect Rates]]/100</f>
        <v>2.0515129307662399E-2</v>
      </c>
      <c r="Y88" t="s">
        <v>47</v>
      </c>
      <c r="Z88" t="s">
        <v>48</v>
      </c>
      <c r="AA88" s="3">
        <v>264.25</v>
      </c>
    </row>
    <row r="89" spans="1:27" x14ac:dyDescent="0.25">
      <c r="A89" t="s">
        <v>154</v>
      </c>
      <c r="B89" t="s">
        <v>141</v>
      </c>
      <c r="C89" s="3">
        <v>80.41</v>
      </c>
      <c r="D89" s="5">
        <v>24</v>
      </c>
      <c r="E89" s="5">
        <v>79</v>
      </c>
      <c r="F89" s="3">
        <v>5133.8500000000004</v>
      </c>
      <c r="G89" t="s">
        <v>55</v>
      </c>
      <c r="H89" s="5">
        <v>5</v>
      </c>
      <c r="I89" s="5">
        <v>7</v>
      </c>
      <c r="J89" s="5" t="str">
        <f t="shared" si="2"/>
        <v>Fast</v>
      </c>
      <c r="K89" s="5">
        <v>55</v>
      </c>
      <c r="L89" s="5" t="str">
        <f t="shared" si="3"/>
        <v>Medium</v>
      </c>
      <c r="M89" s="5">
        <v>10</v>
      </c>
      <c r="N89" t="s">
        <v>36</v>
      </c>
      <c r="O89" s="3">
        <v>6.58</v>
      </c>
      <c r="P89" t="s">
        <v>28</v>
      </c>
      <c r="Q89" t="s">
        <v>62</v>
      </c>
      <c r="R89" s="5">
        <v>27</v>
      </c>
      <c r="S89" s="5">
        <v>523</v>
      </c>
      <c r="T89" s="5">
        <v>17</v>
      </c>
      <c r="U89" s="3">
        <v>28.7</v>
      </c>
      <c r="V89" t="s">
        <v>46</v>
      </c>
      <c r="W89" s="7">
        <v>3.6937377878392699</v>
      </c>
      <c r="X89" s="7">
        <f>Supply_Chain_Table[[#This Row],[Defect Rates]]/100</f>
        <v>3.6937377878392699E-2</v>
      </c>
      <c r="Y89" t="s">
        <v>56</v>
      </c>
      <c r="Z89" t="s">
        <v>32</v>
      </c>
      <c r="AA89" s="3">
        <v>879.36</v>
      </c>
    </row>
    <row r="90" spans="1:27" x14ac:dyDescent="0.25">
      <c r="A90" t="s">
        <v>156</v>
      </c>
      <c r="B90" t="s">
        <v>142</v>
      </c>
      <c r="C90" s="3">
        <v>75.27</v>
      </c>
      <c r="D90" s="5">
        <v>58</v>
      </c>
      <c r="E90" s="5">
        <v>737</v>
      </c>
      <c r="F90" s="3">
        <v>9444.74</v>
      </c>
      <c r="G90" t="s">
        <v>55</v>
      </c>
      <c r="H90" s="5">
        <v>60</v>
      </c>
      <c r="I90" s="5">
        <v>18</v>
      </c>
      <c r="J90" s="5" t="str">
        <f t="shared" si="2"/>
        <v>Slow</v>
      </c>
      <c r="K90" s="5">
        <v>85</v>
      </c>
      <c r="L90" s="5" t="str">
        <f t="shared" si="3"/>
        <v>Large</v>
      </c>
      <c r="M90" s="5">
        <v>7</v>
      </c>
      <c r="N90" t="s">
        <v>36</v>
      </c>
      <c r="O90" s="3">
        <v>3.8</v>
      </c>
      <c r="P90" t="s">
        <v>61</v>
      </c>
      <c r="Q90" t="s">
        <v>29</v>
      </c>
      <c r="R90" s="5">
        <v>21</v>
      </c>
      <c r="S90" s="5">
        <v>953</v>
      </c>
      <c r="T90" s="5">
        <v>11</v>
      </c>
      <c r="U90" s="3">
        <v>68.180000000000007</v>
      </c>
      <c r="V90" t="s">
        <v>30</v>
      </c>
      <c r="W90" s="7">
        <v>0.722204401882931</v>
      </c>
      <c r="X90" s="7">
        <f>Supply_Chain_Table[[#This Row],[Defect Rates]]/100</f>
        <v>7.22204401882931E-3</v>
      </c>
      <c r="Y90" t="s">
        <v>56</v>
      </c>
      <c r="Z90" t="s">
        <v>48</v>
      </c>
      <c r="AA90" s="3">
        <v>103.92</v>
      </c>
    </row>
    <row r="91" spans="1:27" x14ac:dyDescent="0.25">
      <c r="A91" t="s">
        <v>156</v>
      </c>
      <c r="B91" t="s">
        <v>143</v>
      </c>
      <c r="C91" s="3">
        <v>97.76</v>
      </c>
      <c r="D91" s="5">
        <v>10</v>
      </c>
      <c r="E91" s="5">
        <v>134</v>
      </c>
      <c r="F91" s="3">
        <v>5924.68</v>
      </c>
      <c r="G91" t="s">
        <v>38</v>
      </c>
      <c r="H91" s="5">
        <v>90</v>
      </c>
      <c r="I91" s="5">
        <v>1</v>
      </c>
      <c r="J91" s="5" t="str">
        <f t="shared" si="2"/>
        <v>Fast</v>
      </c>
      <c r="K91" s="5">
        <v>27</v>
      </c>
      <c r="L91" s="5" t="str">
        <f t="shared" si="3"/>
        <v>Medium</v>
      </c>
      <c r="M91" s="5">
        <v>8</v>
      </c>
      <c r="N91" t="s">
        <v>27</v>
      </c>
      <c r="O91" s="3">
        <v>9.93</v>
      </c>
      <c r="P91" t="s">
        <v>39</v>
      </c>
      <c r="Q91" t="s">
        <v>45</v>
      </c>
      <c r="R91" s="5">
        <v>23</v>
      </c>
      <c r="S91" s="5">
        <v>370</v>
      </c>
      <c r="T91" s="5">
        <v>11</v>
      </c>
      <c r="U91" s="3">
        <v>46.6</v>
      </c>
      <c r="V91" t="s">
        <v>30</v>
      </c>
      <c r="W91" s="7">
        <v>1.9076657339590699</v>
      </c>
      <c r="X91" s="7">
        <f>Supply_Chain_Table[[#This Row],[Defect Rates]]/100</f>
        <v>1.90766573395907E-2</v>
      </c>
      <c r="Y91" t="s">
        <v>47</v>
      </c>
      <c r="Z91" t="s">
        <v>32</v>
      </c>
      <c r="AA91" s="3">
        <v>517.5</v>
      </c>
    </row>
    <row r="92" spans="1:27" x14ac:dyDescent="0.25">
      <c r="A92" t="s">
        <v>155</v>
      </c>
      <c r="B92" t="s">
        <v>144</v>
      </c>
      <c r="C92" s="3">
        <v>13.88</v>
      </c>
      <c r="D92" s="5">
        <v>56</v>
      </c>
      <c r="E92" s="5">
        <v>320</v>
      </c>
      <c r="F92" s="3">
        <v>9592.6299999999992</v>
      </c>
      <c r="G92" t="s">
        <v>158</v>
      </c>
      <c r="H92" s="5">
        <v>66</v>
      </c>
      <c r="I92" s="5">
        <v>18</v>
      </c>
      <c r="J92" s="5" t="str">
        <f t="shared" si="2"/>
        <v>Slow</v>
      </c>
      <c r="K92" s="5">
        <v>96</v>
      </c>
      <c r="L92" s="5" t="str">
        <f t="shared" si="3"/>
        <v>Large</v>
      </c>
      <c r="M92" s="5">
        <v>7</v>
      </c>
      <c r="N92" t="s">
        <v>27</v>
      </c>
      <c r="O92" s="3">
        <v>7.67</v>
      </c>
      <c r="P92" t="s">
        <v>28</v>
      </c>
      <c r="Q92" t="s">
        <v>53</v>
      </c>
      <c r="R92" s="5">
        <v>8</v>
      </c>
      <c r="S92" s="5">
        <v>585</v>
      </c>
      <c r="T92" s="5">
        <v>8</v>
      </c>
      <c r="U92" s="3">
        <v>85.68</v>
      </c>
      <c r="V92" t="s">
        <v>64</v>
      </c>
      <c r="W92" s="7">
        <v>1.2193822244013801</v>
      </c>
      <c r="X92" s="7">
        <f>Supply_Chain_Table[[#This Row],[Defect Rates]]/100</f>
        <v>1.21938222440138E-2</v>
      </c>
      <c r="Y92" t="s">
        <v>47</v>
      </c>
      <c r="Z92" t="s">
        <v>32</v>
      </c>
      <c r="AA92" s="3">
        <v>990.08</v>
      </c>
    </row>
    <row r="93" spans="1:27" x14ac:dyDescent="0.25">
      <c r="A93" t="s">
        <v>156</v>
      </c>
      <c r="B93" t="s">
        <v>145</v>
      </c>
      <c r="C93" s="3">
        <v>62.11</v>
      </c>
      <c r="D93" s="5">
        <v>90</v>
      </c>
      <c r="E93" s="5">
        <v>916</v>
      </c>
      <c r="F93" s="3">
        <v>1935.21</v>
      </c>
      <c r="G93" t="s">
        <v>55</v>
      </c>
      <c r="H93" s="5">
        <v>98</v>
      </c>
      <c r="I93" s="5">
        <v>22</v>
      </c>
      <c r="J93" s="5" t="str">
        <f t="shared" si="2"/>
        <v>Slow</v>
      </c>
      <c r="K93" s="5">
        <v>85</v>
      </c>
      <c r="L93" s="5" t="str">
        <f t="shared" si="3"/>
        <v>Large</v>
      </c>
      <c r="M93" s="5">
        <v>7</v>
      </c>
      <c r="N93" t="s">
        <v>27</v>
      </c>
      <c r="O93" s="3">
        <v>7.47</v>
      </c>
      <c r="P93" t="s">
        <v>52</v>
      </c>
      <c r="Q93" t="s">
        <v>50</v>
      </c>
      <c r="R93" s="5">
        <v>5</v>
      </c>
      <c r="S93" s="5">
        <v>207</v>
      </c>
      <c r="T93" s="5">
        <v>28</v>
      </c>
      <c r="U93" s="3">
        <v>39.770000000000003</v>
      </c>
      <c r="V93" t="s">
        <v>30</v>
      </c>
      <c r="W93" s="7">
        <v>0.62600185820939402</v>
      </c>
      <c r="X93" s="7">
        <f>Supply_Chain_Table[[#This Row],[Defect Rates]]/100</f>
        <v>6.2600185820939399E-3</v>
      </c>
      <c r="Y93" t="s">
        <v>47</v>
      </c>
      <c r="Z93" t="s">
        <v>32</v>
      </c>
      <c r="AA93" s="3">
        <v>996.78</v>
      </c>
    </row>
    <row r="94" spans="1:27" x14ac:dyDescent="0.25">
      <c r="A94" t="s">
        <v>156</v>
      </c>
      <c r="B94" t="s">
        <v>146</v>
      </c>
      <c r="C94" s="3">
        <v>47.71</v>
      </c>
      <c r="D94" s="5">
        <v>44</v>
      </c>
      <c r="E94" s="5">
        <v>276</v>
      </c>
      <c r="F94" s="3">
        <v>2100.13</v>
      </c>
      <c r="G94" t="s">
        <v>55</v>
      </c>
      <c r="H94" s="5">
        <v>90</v>
      </c>
      <c r="I94" s="5">
        <v>25</v>
      </c>
      <c r="J94" s="5" t="str">
        <f t="shared" si="2"/>
        <v>Slow</v>
      </c>
      <c r="K94" s="5">
        <v>10</v>
      </c>
      <c r="L94" s="5" t="str">
        <f t="shared" si="3"/>
        <v>Small</v>
      </c>
      <c r="M94" s="5">
        <v>8</v>
      </c>
      <c r="N94" t="s">
        <v>27</v>
      </c>
      <c r="O94" s="3">
        <v>4.47</v>
      </c>
      <c r="P94" t="s">
        <v>61</v>
      </c>
      <c r="Q94" t="s">
        <v>29</v>
      </c>
      <c r="R94" s="5">
        <v>4</v>
      </c>
      <c r="S94" s="5">
        <v>671</v>
      </c>
      <c r="T94" s="5">
        <v>29</v>
      </c>
      <c r="U94" s="3">
        <v>62.61</v>
      </c>
      <c r="V94" t="s">
        <v>64</v>
      </c>
      <c r="W94" s="7">
        <v>0.33343182522473902</v>
      </c>
      <c r="X94" s="7">
        <f>Supply_Chain_Table[[#This Row],[Defect Rates]]/100</f>
        <v>3.3343182522473903E-3</v>
      </c>
      <c r="Y94" t="s">
        <v>47</v>
      </c>
      <c r="Z94" t="s">
        <v>32</v>
      </c>
      <c r="AA94" s="3">
        <v>230.09</v>
      </c>
    </row>
    <row r="95" spans="1:27" x14ac:dyDescent="0.25">
      <c r="A95" t="s">
        <v>154</v>
      </c>
      <c r="B95" t="s">
        <v>147</v>
      </c>
      <c r="C95" s="3">
        <v>69.290000000000006</v>
      </c>
      <c r="D95" s="5">
        <v>88</v>
      </c>
      <c r="E95" s="5">
        <v>114</v>
      </c>
      <c r="F95" s="3">
        <v>4531.3999999999996</v>
      </c>
      <c r="G95" t="s">
        <v>38</v>
      </c>
      <c r="H95" s="5">
        <v>63</v>
      </c>
      <c r="I95" s="5">
        <v>17</v>
      </c>
      <c r="J95" s="5" t="str">
        <f t="shared" si="2"/>
        <v>Slow</v>
      </c>
      <c r="K95" s="5">
        <v>66</v>
      </c>
      <c r="L95" s="5" t="str">
        <f t="shared" si="3"/>
        <v>Large</v>
      </c>
      <c r="M95" s="5">
        <v>1</v>
      </c>
      <c r="N95" t="s">
        <v>43</v>
      </c>
      <c r="O95" s="3">
        <v>7.01</v>
      </c>
      <c r="P95" t="s">
        <v>52</v>
      </c>
      <c r="Q95" t="s">
        <v>62</v>
      </c>
      <c r="R95" s="5">
        <v>21</v>
      </c>
      <c r="S95" s="5">
        <v>824</v>
      </c>
      <c r="T95" s="5">
        <v>20</v>
      </c>
      <c r="U95" s="3">
        <v>35.630000000000003</v>
      </c>
      <c r="V95" t="s">
        <v>46</v>
      </c>
      <c r="W95" s="7">
        <v>4.1657817954241398</v>
      </c>
      <c r="X95" s="7">
        <f>Supply_Chain_Table[[#This Row],[Defect Rates]]/100</f>
        <v>4.1657817954241401E-2</v>
      </c>
      <c r="Y95" t="s">
        <v>40</v>
      </c>
      <c r="Z95" t="s">
        <v>48</v>
      </c>
      <c r="AA95" s="3">
        <v>823.52</v>
      </c>
    </row>
    <row r="96" spans="1:27" x14ac:dyDescent="0.25">
      <c r="A96" t="s">
        <v>156</v>
      </c>
      <c r="B96" t="s">
        <v>148</v>
      </c>
      <c r="C96" s="3">
        <v>3.04</v>
      </c>
      <c r="D96" s="5">
        <v>97</v>
      </c>
      <c r="E96" s="5">
        <v>987</v>
      </c>
      <c r="F96" s="3">
        <v>7888.36</v>
      </c>
      <c r="G96" t="s">
        <v>38</v>
      </c>
      <c r="H96" s="5">
        <v>77</v>
      </c>
      <c r="I96" s="5">
        <v>26</v>
      </c>
      <c r="J96" s="5" t="str">
        <f t="shared" si="2"/>
        <v>Slow</v>
      </c>
      <c r="K96" s="5">
        <v>72</v>
      </c>
      <c r="L96" s="5" t="str">
        <f t="shared" si="3"/>
        <v>Large</v>
      </c>
      <c r="M96" s="5">
        <v>9</v>
      </c>
      <c r="N96" t="s">
        <v>27</v>
      </c>
      <c r="O96" s="3">
        <v>6.94</v>
      </c>
      <c r="P96" t="s">
        <v>61</v>
      </c>
      <c r="Q96" t="s">
        <v>50</v>
      </c>
      <c r="R96" s="5">
        <v>12</v>
      </c>
      <c r="S96" s="5">
        <v>908</v>
      </c>
      <c r="T96" s="5">
        <v>14</v>
      </c>
      <c r="U96" s="3">
        <v>60.39</v>
      </c>
      <c r="V96" t="s">
        <v>64</v>
      </c>
      <c r="W96" s="7">
        <v>1.4636074984727701</v>
      </c>
      <c r="X96" s="7">
        <f>Supply_Chain_Table[[#This Row],[Defect Rates]]/100</f>
        <v>1.4636074984727701E-2</v>
      </c>
      <c r="Y96" t="s">
        <v>47</v>
      </c>
      <c r="Z96" t="s">
        <v>32</v>
      </c>
      <c r="AA96" s="3">
        <v>846.67</v>
      </c>
    </row>
    <row r="97" spans="1:27" x14ac:dyDescent="0.25">
      <c r="A97" t="s">
        <v>154</v>
      </c>
      <c r="B97" t="s">
        <v>149</v>
      </c>
      <c r="C97" s="3">
        <v>77.900000000000006</v>
      </c>
      <c r="D97" s="5">
        <v>65</v>
      </c>
      <c r="E97" s="5">
        <v>672</v>
      </c>
      <c r="F97" s="3">
        <v>7386.36</v>
      </c>
      <c r="G97" t="s">
        <v>38</v>
      </c>
      <c r="H97" s="5">
        <v>15</v>
      </c>
      <c r="I97" s="5">
        <v>14</v>
      </c>
      <c r="J97" s="5" t="str">
        <f t="shared" si="2"/>
        <v>Moderate</v>
      </c>
      <c r="K97" s="5">
        <v>26</v>
      </c>
      <c r="L97" s="5" t="str">
        <f t="shared" si="3"/>
        <v>Medium</v>
      </c>
      <c r="M97" s="5">
        <v>9</v>
      </c>
      <c r="N97" t="s">
        <v>27</v>
      </c>
      <c r="O97" s="3">
        <v>8.6300000000000008</v>
      </c>
      <c r="P97" t="s">
        <v>52</v>
      </c>
      <c r="Q97" t="s">
        <v>29</v>
      </c>
      <c r="R97" s="5">
        <v>18</v>
      </c>
      <c r="S97" s="5">
        <v>450</v>
      </c>
      <c r="T97" s="5">
        <v>26</v>
      </c>
      <c r="U97" s="3">
        <v>58.89</v>
      </c>
      <c r="V97" t="s">
        <v>30</v>
      </c>
      <c r="W97" s="7">
        <v>1.21088212958506</v>
      </c>
      <c r="X97" s="7">
        <f>Supply_Chain_Table[[#This Row],[Defect Rates]]/100</f>
        <v>1.21088212958506E-2</v>
      </c>
      <c r="Y97" t="s">
        <v>40</v>
      </c>
      <c r="Z97" t="s">
        <v>48</v>
      </c>
      <c r="AA97" s="3">
        <v>778.86</v>
      </c>
    </row>
    <row r="98" spans="1:27" x14ac:dyDescent="0.25">
      <c r="A98" t="s">
        <v>156</v>
      </c>
      <c r="B98" t="s">
        <v>150</v>
      </c>
      <c r="C98" s="3">
        <v>24.42</v>
      </c>
      <c r="D98" s="5">
        <v>29</v>
      </c>
      <c r="E98" s="5">
        <v>324</v>
      </c>
      <c r="F98" s="3">
        <v>7698.42</v>
      </c>
      <c r="G98" t="s">
        <v>158</v>
      </c>
      <c r="H98" s="5">
        <v>67</v>
      </c>
      <c r="I98" s="5">
        <v>2</v>
      </c>
      <c r="J98" s="5" t="str">
        <f t="shared" si="2"/>
        <v>Fast</v>
      </c>
      <c r="K98" s="5">
        <v>32</v>
      </c>
      <c r="L98" s="5" t="str">
        <f t="shared" si="3"/>
        <v>Medium</v>
      </c>
      <c r="M98" s="5">
        <v>3</v>
      </c>
      <c r="N98" t="s">
        <v>43</v>
      </c>
      <c r="O98" s="3">
        <v>5.35</v>
      </c>
      <c r="P98" t="s">
        <v>28</v>
      </c>
      <c r="Q98" t="s">
        <v>29</v>
      </c>
      <c r="R98" s="5">
        <v>28</v>
      </c>
      <c r="S98" s="5">
        <v>648</v>
      </c>
      <c r="T98" s="5">
        <v>28</v>
      </c>
      <c r="U98" s="3">
        <v>17.8</v>
      </c>
      <c r="V98" t="s">
        <v>30</v>
      </c>
      <c r="W98" s="7">
        <v>3.8720476814821301</v>
      </c>
      <c r="X98" s="7">
        <f>Supply_Chain_Table[[#This Row],[Defect Rates]]/100</f>
        <v>3.8720476814821297E-2</v>
      </c>
      <c r="Y98" t="s">
        <v>31</v>
      </c>
      <c r="Z98" t="s">
        <v>48</v>
      </c>
      <c r="AA98" s="3">
        <v>188.74</v>
      </c>
    </row>
    <row r="99" spans="1:27" x14ac:dyDescent="0.25">
      <c r="A99" t="s">
        <v>154</v>
      </c>
      <c r="B99" t="s">
        <v>151</v>
      </c>
      <c r="C99" s="3">
        <v>3.53</v>
      </c>
      <c r="D99" s="5">
        <v>56</v>
      </c>
      <c r="E99" s="5">
        <v>62</v>
      </c>
      <c r="F99" s="3">
        <v>4370.92</v>
      </c>
      <c r="G99" t="s">
        <v>55</v>
      </c>
      <c r="H99" s="5">
        <v>46</v>
      </c>
      <c r="I99" s="5">
        <v>19</v>
      </c>
      <c r="J99" s="5" t="str">
        <f t="shared" si="2"/>
        <v>Slow</v>
      </c>
      <c r="K99" s="5">
        <v>4</v>
      </c>
      <c r="L99" s="5" t="str">
        <f t="shared" si="3"/>
        <v>Small</v>
      </c>
      <c r="M99" s="5">
        <v>9</v>
      </c>
      <c r="N99" t="s">
        <v>36</v>
      </c>
      <c r="O99" s="3">
        <v>7.9</v>
      </c>
      <c r="P99" t="s">
        <v>52</v>
      </c>
      <c r="Q99" t="s">
        <v>29</v>
      </c>
      <c r="R99" s="5">
        <v>10</v>
      </c>
      <c r="S99" s="5">
        <v>535</v>
      </c>
      <c r="T99" s="5">
        <v>13</v>
      </c>
      <c r="U99" s="3">
        <v>65.77</v>
      </c>
      <c r="V99" t="s">
        <v>46</v>
      </c>
      <c r="W99" s="7">
        <v>3.3762378347179798</v>
      </c>
      <c r="X99" s="7">
        <f>Supply_Chain_Table[[#This Row],[Defect Rates]]/100</f>
        <v>3.3762378347179794E-2</v>
      </c>
      <c r="Y99" t="s">
        <v>31</v>
      </c>
      <c r="Z99" t="s">
        <v>48</v>
      </c>
      <c r="AA99" s="3">
        <v>540.13</v>
      </c>
    </row>
    <row r="100" spans="1:27" x14ac:dyDescent="0.25">
      <c r="A100" t="s">
        <v>155</v>
      </c>
      <c r="B100" t="s">
        <v>152</v>
      </c>
      <c r="C100" s="3">
        <v>19.75</v>
      </c>
      <c r="D100" s="5">
        <v>43</v>
      </c>
      <c r="E100" s="5">
        <v>913</v>
      </c>
      <c r="F100" s="3">
        <v>8525.9500000000007</v>
      </c>
      <c r="G100" t="s">
        <v>35</v>
      </c>
      <c r="H100" s="5">
        <v>53</v>
      </c>
      <c r="I100" s="5">
        <v>1</v>
      </c>
      <c r="J100" s="5" t="str">
        <f t="shared" si="2"/>
        <v>Fast</v>
      </c>
      <c r="K100" s="5">
        <v>27</v>
      </c>
      <c r="L100" s="5" t="str">
        <f t="shared" si="3"/>
        <v>Medium</v>
      </c>
      <c r="M100" s="5">
        <v>7</v>
      </c>
      <c r="N100" t="s">
        <v>27</v>
      </c>
      <c r="O100" s="3">
        <v>1.41</v>
      </c>
      <c r="P100" t="s">
        <v>44</v>
      </c>
      <c r="Q100" t="s">
        <v>62</v>
      </c>
      <c r="R100" s="5">
        <v>28</v>
      </c>
      <c r="S100" s="5">
        <v>581</v>
      </c>
      <c r="T100" s="5">
        <v>9</v>
      </c>
      <c r="U100" s="3">
        <v>5.6</v>
      </c>
      <c r="V100" t="s">
        <v>30</v>
      </c>
      <c r="W100" s="7">
        <v>2.9081221693512598</v>
      </c>
      <c r="X100" s="7">
        <f>Supply_Chain_Table[[#This Row],[Defect Rates]]/100</f>
        <v>2.9081221693512599E-2</v>
      </c>
      <c r="Y100" t="s">
        <v>47</v>
      </c>
      <c r="Z100" t="s">
        <v>48</v>
      </c>
      <c r="AA100" s="3">
        <v>882.2</v>
      </c>
    </row>
    <row r="101" spans="1:27" x14ac:dyDescent="0.25">
      <c r="A101" t="s">
        <v>154</v>
      </c>
      <c r="B101" t="s">
        <v>153</v>
      </c>
      <c r="C101" s="3">
        <v>68.52</v>
      </c>
      <c r="D101" s="5">
        <v>17</v>
      </c>
      <c r="E101" s="5">
        <v>627</v>
      </c>
      <c r="F101" s="3">
        <v>9185.19</v>
      </c>
      <c r="G101" t="s">
        <v>38</v>
      </c>
      <c r="H101" s="5">
        <v>55</v>
      </c>
      <c r="I101" s="5">
        <v>8</v>
      </c>
      <c r="J101" s="5" t="str">
        <f t="shared" si="2"/>
        <v>Moderate</v>
      </c>
      <c r="K101" s="5">
        <v>59</v>
      </c>
      <c r="L101" s="5" t="str">
        <f t="shared" si="3"/>
        <v>Medium</v>
      </c>
      <c r="M101" s="5">
        <v>6</v>
      </c>
      <c r="N101" t="s">
        <v>27</v>
      </c>
      <c r="O101" s="3">
        <v>1.31</v>
      </c>
      <c r="P101" t="s">
        <v>61</v>
      </c>
      <c r="Q101" t="s">
        <v>62</v>
      </c>
      <c r="R101" s="5">
        <v>29</v>
      </c>
      <c r="S101" s="5">
        <v>921</v>
      </c>
      <c r="T101" s="5">
        <v>2</v>
      </c>
      <c r="U101" s="3">
        <v>38.07</v>
      </c>
      <c r="V101" t="s">
        <v>46</v>
      </c>
      <c r="W101" s="7">
        <v>0.34602729070550298</v>
      </c>
      <c r="X101" s="7">
        <f>Supply_Chain_Table[[#This Row],[Defect Rates]]/100</f>
        <v>3.46027290705503E-3</v>
      </c>
      <c r="Y101" t="s">
        <v>47</v>
      </c>
      <c r="Z101" t="s">
        <v>32</v>
      </c>
      <c r="AA101" s="3">
        <v>210.74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D55AB-C353-4EA7-B92A-6DD3F75A96BF}">
  <dimension ref="A3:C7"/>
  <sheetViews>
    <sheetView workbookViewId="0">
      <selection activeCell="M13" sqref="M13"/>
    </sheetView>
  </sheetViews>
  <sheetFormatPr defaultRowHeight="15" x14ac:dyDescent="0.25"/>
  <cols>
    <col min="1" max="1" width="13.85546875" bestFit="1" customWidth="1"/>
    <col min="2" max="3" width="12" bestFit="1" customWidth="1"/>
  </cols>
  <sheetData>
    <row r="3" spans="1:3" x14ac:dyDescent="0.25">
      <c r="A3" s="8" t="s">
        <v>175</v>
      </c>
      <c r="B3" s="9" t="s">
        <v>177</v>
      </c>
      <c r="C3" s="9" t="s">
        <v>179</v>
      </c>
    </row>
    <row r="4" spans="1:3" x14ac:dyDescent="0.25">
      <c r="A4" s="10" t="s">
        <v>156</v>
      </c>
      <c r="B4" s="11">
        <v>57.361153846153847</v>
      </c>
      <c r="C4" s="11">
        <v>161521.26999999996</v>
      </c>
    </row>
    <row r="5" spans="1:3" x14ac:dyDescent="0.25">
      <c r="A5" s="10" t="s">
        <v>154</v>
      </c>
      <c r="B5" s="11">
        <v>46.014117647058818</v>
      </c>
      <c r="C5" s="11">
        <v>174455.41999999998</v>
      </c>
    </row>
    <row r="6" spans="1:3" x14ac:dyDescent="0.25">
      <c r="A6" s="10" t="s">
        <v>155</v>
      </c>
      <c r="B6" s="11">
        <v>47.259499999999989</v>
      </c>
      <c r="C6" s="11">
        <v>241628.17</v>
      </c>
    </row>
    <row r="7" spans="1:3" x14ac:dyDescent="0.25">
      <c r="A7" s="10" t="s">
        <v>176</v>
      </c>
      <c r="B7" s="11">
        <v>49.462499999999999</v>
      </c>
      <c r="C7" s="11">
        <v>577604.86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C145-4B31-40DA-933F-732D0BF66569}">
  <dimension ref="A3:B7"/>
  <sheetViews>
    <sheetView workbookViewId="0">
      <selection activeCell="J16" sqref="J16"/>
    </sheetView>
  </sheetViews>
  <sheetFormatPr defaultRowHeight="15" x14ac:dyDescent="0.25"/>
  <cols>
    <col min="1" max="1" width="13.85546875" bestFit="1" customWidth="1"/>
    <col min="2" max="2" width="25.5703125" bestFit="1" customWidth="1"/>
  </cols>
  <sheetData>
    <row r="3" spans="1:2" x14ac:dyDescent="0.25">
      <c r="A3" s="12" t="s">
        <v>175</v>
      </c>
      <c r="B3" s="13" t="s">
        <v>180</v>
      </c>
    </row>
    <row r="4" spans="1:2" x14ac:dyDescent="0.25">
      <c r="A4" s="14" t="s">
        <v>156</v>
      </c>
      <c r="B4" s="15">
        <v>0.25503807024013536</v>
      </c>
    </row>
    <row r="5" spans="1:2" x14ac:dyDescent="0.25">
      <c r="A5" s="14" t="s">
        <v>154</v>
      </c>
      <c r="B5" s="15">
        <v>0.29525586238313195</v>
      </c>
    </row>
    <row r="6" spans="1:2" x14ac:dyDescent="0.25">
      <c r="A6" s="14" t="s">
        <v>155</v>
      </c>
      <c r="B6" s="15">
        <v>0.44970606737673269</v>
      </c>
    </row>
    <row r="7" spans="1:2" x14ac:dyDescent="0.25">
      <c r="A7" s="14" t="s">
        <v>176</v>
      </c>
      <c r="B7" s="1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35D4-4122-4E1D-9078-7B0EE939062D}">
  <dimension ref="A3:B7"/>
  <sheetViews>
    <sheetView workbookViewId="0">
      <selection activeCell="C9" sqref="C9"/>
    </sheetView>
  </sheetViews>
  <sheetFormatPr defaultRowHeight="15" x14ac:dyDescent="0.25"/>
  <cols>
    <col min="1" max="1" width="16.85546875" bestFit="1" customWidth="1"/>
    <col min="2" max="2" width="14.28515625" bestFit="1" customWidth="1"/>
  </cols>
  <sheetData>
    <row r="3" spans="1:2" x14ac:dyDescent="0.25">
      <c r="A3" s="12" t="s">
        <v>165</v>
      </c>
      <c r="B3" s="13" t="s">
        <v>178</v>
      </c>
    </row>
    <row r="4" spans="1:2" x14ac:dyDescent="0.25">
      <c r="A4" s="14" t="s">
        <v>36</v>
      </c>
      <c r="B4" s="16">
        <v>142630.03999999998</v>
      </c>
    </row>
    <row r="5" spans="1:2" x14ac:dyDescent="0.25">
      <c r="A5" s="14" t="s">
        <v>27</v>
      </c>
      <c r="B5" s="16">
        <v>250094.64</v>
      </c>
    </row>
    <row r="6" spans="1:2" x14ac:dyDescent="0.25">
      <c r="A6" s="14" t="s">
        <v>43</v>
      </c>
      <c r="B6" s="16">
        <v>184880.18</v>
      </c>
    </row>
    <row r="7" spans="1:2" x14ac:dyDescent="0.25">
      <c r="A7" s="14" t="s">
        <v>176</v>
      </c>
      <c r="B7" s="16">
        <v>577604.86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9872-86C2-4600-B8A8-6A9A481C2C4A}">
  <dimension ref="A3:B14"/>
  <sheetViews>
    <sheetView workbookViewId="0">
      <selection activeCell="A20" sqref="A20"/>
    </sheetView>
  </sheetViews>
  <sheetFormatPr defaultRowHeight="15" x14ac:dyDescent="0.25"/>
  <cols>
    <col min="1" max="1" width="10.140625" bestFit="1" customWidth="1"/>
    <col min="2" max="2" width="14.28515625" bestFit="1" customWidth="1"/>
  </cols>
  <sheetData>
    <row r="3" spans="1:2" x14ac:dyDescent="0.25">
      <c r="A3" s="12" t="s">
        <v>181</v>
      </c>
      <c r="B3" s="13" t="s">
        <v>178</v>
      </c>
    </row>
    <row r="4" spans="1:2" x14ac:dyDescent="0.25">
      <c r="A4" s="14" t="s">
        <v>72</v>
      </c>
      <c r="B4" s="16">
        <v>9364.67</v>
      </c>
    </row>
    <row r="5" spans="1:2" x14ac:dyDescent="0.25">
      <c r="A5" s="14" t="s">
        <v>37</v>
      </c>
      <c r="B5" s="16">
        <v>9577.75</v>
      </c>
    </row>
    <row r="6" spans="1:2" x14ac:dyDescent="0.25">
      <c r="A6" s="14" t="s">
        <v>85</v>
      </c>
      <c r="B6" s="16">
        <v>9655.14</v>
      </c>
    </row>
    <row r="7" spans="1:2" x14ac:dyDescent="0.25">
      <c r="A7" s="14" t="s">
        <v>86</v>
      </c>
      <c r="B7" s="16">
        <v>9571.5499999999993</v>
      </c>
    </row>
    <row r="8" spans="1:2" x14ac:dyDescent="0.25">
      <c r="A8" s="14" t="s">
        <v>92</v>
      </c>
      <c r="B8" s="16">
        <v>9692.32</v>
      </c>
    </row>
    <row r="9" spans="1:2" x14ac:dyDescent="0.25">
      <c r="A9" s="14" t="s">
        <v>105</v>
      </c>
      <c r="B9" s="16">
        <v>9866.4699999999993</v>
      </c>
    </row>
    <row r="10" spans="1:2" x14ac:dyDescent="0.25">
      <c r="A10" s="14" t="s">
        <v>106</v>
      </c>
      <c r="B10" s="16">
        <v>9435.76</v>
      </c>
    </row>
    <row r="11" spans="1:2" x14ac:dyDescent="0.25">
      <c r="A11" s="14" t="s">
        <v>121</v>
      </c>
      <c r="B11" s="16">
        <v>9473.7999999999993</v>
      </c>
    </row>
    <row r="12" spans="1:2" x14ac:dyDescent="0.25">
      <c r="A12" s="14" t="s">
        <v>142</v>
      </c>
      <c r="B12" s="16">
        <v>9444.74</v>
      </c>
    </row>
    <row r="13" spans="1:2" x14ac:dyDescent="0.25">
      <c r="A13" s="14" t="s">
        <v>144</v>
      </c>
      <c r="B13" s="16">
        <v>9592.6299999999992</v>
      </c>
    </row>
    <row r="14" spans="1:2" x14ac:dyDescent="0.25">
      <c r="A14" s="14" t="s">
        <v>176</v>
      </c>
      <c r="B14" s="16">
        <v>95674.830000000016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C928-7E29-44FB-BC59-157E7D048FC9}">
  <dimension ref="A3:B15"/>
  <sheetViews>
    <sheetView workbookViewId="0">
      <selection activeCell="N13" sqref="N13"/>
    </sheetView>
  </sheetViews>
  <sheetFormatPr defaultRowHeight="15" x14ac:dyDescent="0.25"/>
  <cols>
    <col min="1" max="1" width="10.140625" bestFit="1" customWidth="1"/>
    <col min="2" max="2" width="15" bestFit="1" customWidth="1"/>
  </cols>
  <sheetData>
    <row r="3" spans="1:2" x14ac:dyDescent="0.25">
      <c r="A3" s="12" t="s">
        <v>181</v>
      </c>
      <c r="B3" s="13" t="s">
        <v>182</v>
      </c>
    </row>
    <row r="4" spans="1:2" x14ac:dyDescent="0.25">
      <c r="A4" s="14" t="s">
        <v>66</v>
      </c>
      <c r="B4" s="17">
        <v>100</v>
      </c>
    </row>
    <row r="5" spans="1:2" x14ac:dyDescent="0.25">
      <c r="A5" s="14" t="s">
        <v>99</v>
      </c>
      <c r="B5" s="17">
        <v>93</v>
      </c>
    </row>
    <row r="6" spans="1:2" x14ac:dyDescent="0.25">
      <c r="A6" s="14" t="s">
        <v>103</v>
      </c>
      <c r="B6" s="17">
        <v>97</v>
      </c>
    </row>
    <row r="7" spans="1:2" x14ac:dyDescent="0.25">
      <c r="A7" s="14" t="s">
        <v>105</v>
      </c>
      <c r="B7" s="17">
        <v>100</v>
      </c>
    </row>
    <row r="8" spans="1:2" x14ac:dyDescent="0.25">
      <c r="A8" s="14" t="s">
        <v>107</v>
      </c>
      <c r="B8" s="17">
        <v>96</v>
      </c>
    </row>
    <row r="9" spans="1:2" x14ac:dyDescent="0.25">
      <c r="A9" s="14" t="s">
        <v>109</v>
      </c>
      <c r="B9" s="17">
        <v>97</v>
      </c>
    </row>
    <row r="10" spans="1:2" x14ac:dyDescent="0.25">
      <c r="A10" s="14" t="s">
        <v>113</v>
      </c>
      <c r="B10" s="17">
        <v>100</v>
      </c>
    </row>
    <row r="11" spans="1:2" x14ac:dyDescent="0.25">
      <c r="A11" s="14" t="s">
        <v>123</v>
      </c>
      <c r="B11" s="17">
        <v>95</v>
      </c>
    </row>
    <row r="12" spans="1:2" x14ac:dyDescent="0.25">
      <c r="A12" s="14" t="s">
        <v>58</v>
      </c>
      <c r="B12" s="17">
        <v>93</v>
      </c>
    </row>
    <row r="13" spans="1:2" x14ac:dyDescent="0.25">
      <c r="A13" s="14" t="s">
        <v>131</v>
      </c>
      <c r="B13" s="17">
        <v>96</v>
      </c>
    </row>
    <row r="14" spans="1:2" x14ac:dyDescent="0.25">
      <c r="A14" s="14" t="s">
        <v>145</v>
      </c>
      <c r="B14" s="17">
        <v>98</v>
      </c>
    </row>
    <row r="15" spans="1:2" x14ac:dyDescent="0.25">
      <c r="A15" s="14" t="s">
        <v>176</v>
      </c>
      <c r="B15" s="17">
        <v>1065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8614-BE92-4516-A28B-26B928A88723}">
  <dimension ref="A3:B7"/>
  <sheetViews>
    <sheetView workbookViewId="0">
      <selection activeCell="L15" sqref="L15"/>
    </sheetView>
  </sheetViews>
  <sheetFormatPr defaultRowHeight="15" x14ac:dyDescent="0.25"/>
  <cols>
    <col min="1" max="1" width="16.85546875" bestFit="1" customWidth="1"/>
    <col min="2" max="2" width="18.140625" bestFit="1" customWidth="1"/>
  </cols>
  <sheetData>
    <row r="3" spans="1:2" x14ac:dyDescent="0.25">
      <c r="A3" s="12" t="s">
        <v>165</v>
      </c>
      <c r="B3" s="13" t="s">
        <v>183</v>
      </c>
    </row>
    <row r="4" spans="1:2" x14ac:dyDescent="0.25">
      <c r="A4" s="14" t="s">
        <v>36</v>
      </c>
      <c r="B4" s="16">
        <v>155.54000000000002</v>
      </c>
    </row>
    <row r="5" spans="1:2" x14ac:dyDescent="0.25">
      <c r="A5" s="14" t="s">
        <v>27</v>
      </c>
      <c r="B5" s="16">
        <v>236.88999999999993</v>
      </c>
    </row>
    <row r="6" spans="1:2" x14ac:dyDescent="0.25">
      <c r="A6" s="14" t="s">
        <v>43</v>
      </c>
      <c r="B6" s="16">
        <v>162.38999999999999</v>
      </c>
    </row>
    <row r="7" spans="1:2" x14ac:dyDescent="0.25">
      <c r="A7" s="14" t="s">
        <v>176</v>
      </c>
      <c r="B7" s="16">
        <v>554.81999999999994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72B3-F906-4E3F-88F4-3A8C7958C2FB}">
  <dimension ref="A3:B8"/>
  <sheetViews>
    <sheetView workbookViewId="0">
      <selection activeCell="M12" sqref="M12"/>
    </sheetView>
  </sheetViews>
  <sheetFormatPr defaultRowHeight="15" x14ac:dyDescent="0.25"/>
  <cols>
    <col min="1" max="1" width="21" bestFit="1" customWidth="1"/>
    <col min="2" max="2" width="18.140625" bestFit="1" customWidth="1"/>
  </cols>
  <sheetData>
    <row r="3" spans="1:2" x14ac:dyDescent="0.25">
      <c r="A3" s="12" t="s">
        <v>173</v>
      </c>
      <c r="B3" s="13" t="s">
        <v>183</v>
      </c>
    </row>
    <row r="4" spans="1:2" x14ac:dyDescent="0.25">
      <c r="A4" s="14" t="s">
        <v>40</v>
      </c>
      <c r="B4" s="16">
        <v>156.45999999999998</v>
      </c>
    </row>
    <row r="5" spans="1:2" x14ac:dyDescent="0.25">
      <c r="A5" s="14" t="s">
        <v>47</v>
      </c>
      <c r="B5" s="16">
        <v>153.13999999999996</v>
      </c>
    </row>
    <row r="6" spans="1:2" x14ac:dyDescent="0.25">
      <c r="A6" s="14" t="s">
        <v>31</v>
      </c>
      <c r="B6" s="16">
        <v>160.72999999999999</v>
      </c>
    </row>
    <row r="7" spans="1:2" x14ac:dyDescent="0.25">
      <c r="A7" s="14" t="s">
        <v>56</v>
      </c>
      <c r="B7" s="16">
        <v>84.489999999999981</v>
      </c>
    </row>
    <row r="8" spans="1:2" x14ac:dyDescent="0.25">
      <c r="A8" s="14" t="s">
        <v>176</v>
      </c>
      <c r="B8" s="16">
        <v>554.81999999999994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35646-A2AC-4E66-90FD-CA0A8372BE44}">
  <dimension ref="A3:F8"/>
  <sheetViews>
    <sheetView workbookViewId="0">
      <selection activeCell="M20" sqref="M20"/>
    </sheetView>
  </sheetViews>
  <sheetFormatPr defaultRowHeight="15" x14ac:dyDescent="0.25"/>
  <cols>
    <col min="1" max="1" width="27.28515625" bestFit="1" customWidth="1"/>
    <col min="2" max="2" width="21" bestFit="1" customWidth="1"/>
    <col min="3" max="5" width="5.28515625" bestFit="1" customWidth="1"/>
    <col min="6" max="6" width="10.140625" bestFit="1" customWidth="1"/>
  </cols>
  <sheetData>
    <row r="3" spans="1:6" x14ac:dyDescent="0.25">
      <c r="A3" s="12" t="s">
        <v>185</v>
      </c>
      <c r="B3" s="12" t="s">
        <v>173</v>
      </c>
      <c r="C3" s="13"/>
      <c r="D3" s="13"/>
      <c r="E3" s="13"/>
      <c r="F3" s="13"/>
    </row>
    <row r="4" spans="1:6" x14ac:dyDescent="0.25">
      <c r="A4" s="12" t="s">
        <v>175</v>
      </c>
      <c r="B4" s="13" t="s">
        <v>40</v>
      </c>
      <c r="C4" s="13" t="s">
        <v>47</v>
      </c>
      <c r="D4" s="13" t="s">
        <v>31</v>
      </c>
      <c r="E4" s="13" t="s">
        <v>56</v>
      </c>
      <c r="F4" s="13" t="s">
        <v>176</v>
      </c>
    </row>
    <row r="5" spans="1:6" x14ac:dyDescent="0.25">
      <c r="A5" s="14" t="s">
        <v>156</v>
      </c>
      <c r="B5" s="15">
        <v>3.9938126329463856E-3</v>
      </c>
      <c r="C5" s="15">
        <v>2.1588410218392435E-2</v>
      </c>
      <c r="D5" s="15">
        <v>2.7036749128426116E-2</v>
      </c>
      <c r="E5" s="15">
        <v>2.0421560742053556E-2</v>
      </c>
      <c r="F5" s="15">
        <v>1.9192869782813152E-2</v>
      </c>
    </row>
    <row r="6" spans="1:6" x14ac:dyDescent="0.25">
      <c r="A6" s="14" t="s">
        <v>154</v>
      </c>
      <c r="B6" s="15">
        <v>2.9247087934532422E-2</v>
      </c>
      <c r="C6" s="15">
        <v>1.9593179653067765E-2</v>
      </c>
      <c r="D6" s="15">
        <v>4.1066170327042177E-2</v>
      </c>
      <c r="E6" s="15">
        <v>3.6428694726088395E-2</v>
      </c>
      <c r="F6" s="15">
        <v>3.1424038906935202E-2</v>
      </c>
    </row>
    <row r="7" spans="1:6" x14ac:dyDescent="0.25">
      <c r="A7" s="14" t="s">
        <v>155</v>
      </c>
      <c r="B7" s="15">
        <v>1.6944181172651132E-2</v>
      </c>
      <c r="C7" s="15">
        <v>2.8782267320882085E-2</v>
      </c>
      <c r="D7" s="15">
        <v>2.9927625004564227E-2</v>
      </c>
      <c r="E7" s="15">
        <v>1.7907668087069024E-2</v>
      </c>
      <c r="F7" s="15">
        <v>2.3346807819802327E-2</v>
      </c>
    </row>
    <row r="8" spans="1:6" x14ac:dyDescent="0.25">
      <c r="A8" s="14" t="s">
        <v>176</v>
      </c>
      <c r="B8" s="15">
        <v>1.8239235457132928E-2</v>
      </c>
      <c r="C8" s="15">
        <v>2.3188139085148152E-2</v>
      </c>
      <c r="D8" s="15">
        <v>3.3938565991216189E-2</v>
      </c>
      <c r="E8" s="15">
        <v>2.3152812939185776E-2</v>
      </c>
      <c r="F8" s="15">
        <v>2.5013042499810321E-2</v>
      </c>
    </row>
  </sheetData>
  <conditionalFormatting sqref="A3:F4 A5:A8">
    <cfRule type="colorScale" priority="1">
      <colorScale>
        <cfvo type="min"/>
        <cfvo type="percentile" val="50"/>
        <cfvo type="max"/>
        <color rgb="FFF8696B"/>
        <color rgb="FFFCFCFF"/>
        <color rgb="FF63BE7B"/>
      </colorScale>
    </cfRule>
  </conditionalFormatting>
  <conditionalFormatting sqref="E3">
    <cfRule type="colorScale" priority="2">
      <colorScale>
        <cfvo type="min"/>
        <cfvo type="max"/>
        <color rgb="FFFF7128"/>
        <color rgb="FFFFEF9C"/>
      </colorScale>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CA5BC-90F9-4FAF-BE6E-5625C9BA41E4}">
  <dimension ref="A1:AD223"/>
  <sheetViews>
    <sheetView zoomScale="86" zoomScaleNormal="86" workbookViewId="0">
      <selection activeCell="Q31" sqref="Q31"/>
    </sheetView>
  </sheetViews>
  <sheetFormatPr defaultRowHeight="15" x14ac:dyDescent="0.25"/>
  <sheetData>
    <row r="1" spans="1:30" x14ac:dyDescent="0.2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row>
    <row r="2" spans="1:30"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row>
    <row r="3" spans="1:30" x14ac:dyDescent="0.25">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row>
    <row r="4" spans="1:30" x14ac:dyDescent="0.2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row>
    <row r="5" spans="1:30" x14ac:dyDescent="0.2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row>
    <row r="6" spans="1:30" x14ac:dyDescent="0.2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row>
    <row r="7" spans="1:30" x14ac:dyDescent="0.2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row>
    <row r="8" spans="1:30" x14ac:dyDescent="0.2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row>
    <row r="9" spans="1:30" x14ac:dyDescent="0.2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row>
    <row r="10" spans="1:30"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row>
    <row r="11" spans="1:30"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row>
    <row r="12" spans="1:30"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row>
    <row r="13" spans="1:30"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row>
    <row r="14" spans="1:30" x14ac:dyDescent="0.25">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row>
    <row r="15" spans="1:30" x14ac:dyDescent="0.25">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row>
    <row r="16" spans="1:30" x14ac:dyDescent="0.2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spans="1:30" x14ac:dyDescent="0.2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row>
    <row r="18" spans="1:30" x14ac:dyDescent="0.2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row>
    <row r="19" spans="1:30" x14ac:dyDescent="0.2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row>
    <row r="20" spans="1:30" x14ac:dyDescent="0.2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row>
    <row r="21" spans="1:30" x14ac:dyDescent="0.2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row>
    <row r="22" spans="1:30" x14ac:dyDescent="0.2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row>
    <row r="23" spans="1:30" x14ac:dyDescent="0.2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row>
    <row r="24" spans="1:30" x14ac:dyDescent="0.2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row>
    <row r="25" spans="1:30" x14ac:dyDescent="0.2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row>
    <row r="26" spans="1:30" x14ac:dyDescent="0.2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row>
    <row r="27" spans="1:30" x14ac:dyDescent="0.2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row>
    <row r="28" spans="1:30" x14ac:dyDescent="0.2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row>
    <row r="29" spans="1:30" x14ac:dyDescent="0.2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row>
    <row r="30" spans="1:30" x14ac:dyDescent="0.2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row>
    <row r="31" spans="1:30" x14ac:dyDescent="0.2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row>
    <row r="32" spans="1:30" x14ac:dyDescent="0.2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row>
    <row r="33" spans="1:30" x14ac:dyDescent="0.2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row>
    <row r="34" spans="1:30" x14ac:dyDescent="0.2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row>
    <row r="35" spans="1:30" x14ac:dyDescent="0.2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row>
    <row r="36" spans="1:30" x14ac:dyDescent="0.2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row>
    <row r="37" spans="1:30" x14ac:dyDescent="0.2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row>
    <row r="38" spans="1:30" x14ac:dyDescent="0.2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row>
    <row r="39" spans="1:30" x14ac:dyDescent="0.2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row>
    <row r="40" spans="1:30"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row>
    <row r="41" spans="1:30"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row>
    <row r="42" spans="1:30"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row>
    <row r="43" spans="1:30"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row>
    <row r="44" spans="1:30"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row>
    <row r="45" spans="1:30"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row>
    <row r="46" spans="1:30"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row>
    <row r="47" spans="1:30"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row>
    <row r="48" spans="1:30"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row>
    <row r="49" spans="1:30"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row>
    <row r="50" spans="1:30"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row>
    <row r="51" spans="1:30"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row>
    <row r="52" spans="1:30"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row>
    <row r="53" spans="1:30"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row>
    <row r="54" spans="1:30"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row>
    <row r="55" spans="1:30"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row>
    <row r="56" spans="1:30"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row>
    <row r="57" spans="1:30"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row>
    <row r="58" spans="1:30"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row>
    <row r="59" spans="1:30"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row>
    <row r="60" spans="1:30"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row>
    <row r="61" spans="1:30"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row>
    <row r="62" spans="1:30"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row>
    <row r="63" spans="1:30"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row>
    <row r="64" spans="1:30"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row>
    <row r="65" spans="1:30"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row>
    <row r="66" spans="1:30"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row>
    <row r="67" spans="1:30"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row>
    <row r="68" spans="1:30"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row>
    <row r="69" spans="1:30"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row>
    <row r="70" spans="1:30"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row>
    <row r="71" spans="1:30"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row>
    <row r="72" spans="1:30"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row>
    <row r="73" spans="1:30"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row>
    <row r="74" spans="1:30"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row>
    <row r="75" spans="1:30"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row>
    <row r="76" spans="1:30"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row>
    <row r="77" spans="1:30"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row>
    <row r="78" spans="1:30"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row>
    <row r="79" spans="1:30"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row>
    <row r="80" spans="1:30"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row>
    <row r="81" spans="1:30"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row>
    <row r="82" spans="1:30" x14ac:dyDescent="0.2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row>
    <row r="83" spans="1:30" x14ac:dyDescent="0.2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row>
    <row r="84" spans="1:30"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row>
    <row r="85" spans="1:30" x14ac:dyDescent="0.2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x14ac:dyDescent="0.2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row>
    <row r="88" spans="1:30" x14ac:dyDescent="0.2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row>
    <row r="89" spans="1:30" x14ac:dyDescent="0.2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row>
    <row r="90" spans="1:30"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row>
    <row r="91" spans="1:30" x14ac:dyDescent="0.2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row>
    <row r="92" spans="1:30" x14ac:dyDescent="0.2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row>
    <row r="93" spans="1:30" x14ac:dyDescent="0.2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row>
    <row r="94" spans="1:30" x14ac:dyDescent="0.2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row>
    <row r="95" spans="1:30" x14ac:dyDescent="0.2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row>
    <row r="96" spans="1:30" x14ac:dyDescent="0.2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row>
    <row r="97" spans="1:30" x14ac:dyDescent="0.2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row>
    <row r="98" spans="1:30"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row>
    <row r="99" spans="1:30" x14ac:dyDescent="0.2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row>
    <row r="100" spans="1:30"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row>
    <row r="101" spans="1:30"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row>
    <row r="102" spans="1:30" x14ac:dyDescent="0.2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row>
    <row r="103" spans="1:30" x14ac:dyDescent="0.2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row>
    <row r="104" spans="1:30" x14ac:dyDescent="0.2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row>
    <row r="105" spans="1:30" x14ac:dyDescent="0.2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row>
    <row r="106" spans="1:30" x14ac:dyDescent="0.2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row>
    <row r="107" spans="1:30" x14ac:dyDescent="0.2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row>
    <row r="108" spans="1:30" x14ac:dyDescent="0.2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row>
    <row r="109" spans="1:30" x14ac:dyDescent="0.2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row>
    <row r="110" spans="1:30" x14ac:dyDescent="0.2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row>
    <row r="111" spans="1:30" x14ac:dyDescent="0.2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row>
    <row r="112" spans="1:30" x14ac:dyDescent="0.2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row>
    <row r="113" spans="1:30" x14ac:dyDescent="0.2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row>
    <row r="114" spans="1:30" x14ac:dyDescent="0.2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row>
    <row r="115" spans="1:30" x14ac:dyDescent="0.2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row>
    <row r="116" spans="1:30" x14ac:dyDescent="0.2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row>
    <row r="117" spans="1:30" x14ac:dyDescent="0.2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row>
    <row r="118" spans="1:30" x14ac:dyDescent="0.2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row>
    <row r="119" spans="1:30" x14ac:dyDescent="0.2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row>
    <row r="120" spans="1:30" x14ac:dyDescent="0.2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row>
    <row r="121" spans="1:30" x14ac:dyDescent="0.2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row>
    <row r="122" spans="1:30" x14ac:dyDescent="0.2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row>
    <row r="123" spans="1:30" x14ac:dyDescent="0.2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row>
    <row r="124" spans="1:30" x14ac:dyDescent="0.2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row>
    <row r="125" spans="1:30" x14ac:dyDescent="0.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row>
    <row r="126" spans="1:30" x14ac:dyDescent="0.2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row>
    <row r="127" spans="1:30" x14ac:dyDescent="0.2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row>
    <row r="128" spans="1:30" x14ac:dyDescent="0.2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row>
    <row r="129" spans="1:30" x14ac:dyDescent="0.2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row>
    <row r="130" spans="1:30" x14ac:dyDescent="0.2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row>
    <row r="131" spans="1:30" x14ac:dyDescent="0.2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row>
    <row r="132" spans="1:30" x14ac:dyDescent="0.2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row>
    <row r="133" spans="1:30" x14ac:dyDescent="0.2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row>
    <row r="134" spans="1:30" x14ac:dyDescent="0.2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row>
    <row r="135" spans="1:30" x14ac:dyDescent="0.2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row>
    <row r="136" spans="1:30" x14ac:dyDescent="0.2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row>
    <row r="137" spans="1:30" x14ac:dyDescent="0.2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row>
    <row r="138" spans="1:30" x14ac:dyDescent="0.2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row>
    <row r="139" spans="1:30" x14ac:dyDescent="0.2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row>
    <row r="140" spans="1:30" x14ac:dyDescent="0.2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row>
    <row r="141" spans="1:30" x14ac:dyDescent="0.2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row>
    <row r="142" spans="1:30" x14ac:dyDescent="0.2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row>
    <row r="143" spans="1:30" x14ac:dyDescent="0.2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row>
    <row r="144" spans="1:30" x14ac:dyDescent="0.2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row>
    <row r="145" spans="1:30" x14ac:dyDescent="0.2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row>
    <row r="146" spans="1:30" x14ac:dyDescent="0.2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row>
    <row r="147" spans="1:30" x14ac:dyDescent="0.2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row>
    <row r="148" spans="1:30" x14ac:dyDescent="0.2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row>
    <row r="149" spans="1:30" x14ac:dyDescent="0.2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row>
    <row r="150" spans="1:30" x14ac:dyDescent="0.2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row>
    <row r="151" spans="1:30" x14ac:dyDescent="0.2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row>
    <row r="152" spans="1:30" x14ac:dyDescent="0.2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row>
    <row r="153" spans="1:30" x14ac:dyDescent="0.2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row>
    <row r="154" spans="1:30" x14ac:dyDescent="0.2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row>
    <row r="155" spans="1:30" x14ac:dyDescent="0.2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row>
    <row r="156" spans="1:30" x14ac:dyDescent="0.2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row>
    <row r="157" spans="1:30" x14ac:dyDescent="0.2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row>
    <row r="158" spans="1:30" x14ac:dyDescent="0.2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row>
    <row r="159" spans="1:30" x14ac:dyDescent="0.2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row>
    <row r="160" spans="1:30" x14ac:dyDescent="0.2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row>
    <row r="161" spans="1:30" x14ac:dyDescent="0.2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row>
    <row r="162" spans="1:30" x14ac:dyDescent="0.2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row>
    <row r="163" spans="1:30" x14ac:dyDescent="0.2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row>
    <row r="164" spans="1:30" x14ac:dyDescent="0.2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row>
    <row r="165" spans="1:30" x14ac:dyDescent="0.2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row>
    <row r="166" spans="1:30" x14ac:dyDescent="0.2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row>
    <row r="167" spans="1:30" x14ac:dyDescent="0.2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row>
    <row r="168" spans="1:30" x14ac:dyDescent="0.2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row>
    <row r="169" spans="1:30" x14ac:dyDescent="0.2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row>
    <row r="170" spans="1:30" x14ac:dyDescent="0.2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row>
    <row r="171" spans="1:30" x14ac:dyDescent="0.2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row>
    <row r="172" spans="1:30" x14ac:dyDescent="0.2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row>
    <row r="173" spans="1:30" x14ac:dyDescent="0.2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row>
    <row r="174" spans="1:30" x14ac:dyDescent="0.2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row>
    <row r="175" spans="1:30" x14ac:dyDescent="0.2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row>
    <row r="176" spans="1:30" x14ac:dyDescent="0.2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row>
    <row r="177" spans="1:30" x14ac:dyDescent="0.2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row>
    <row r="178" spans="1:30" x14ac:dyDescent="0.2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row>
    <row r="179" spans="1:30" x14ac:dyDescent="0.2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row>
    <row r="180" spans="1:30" x14ac:dyDescent="0.2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row>
    <row r="181" spans="1:30" x14ac:dyDescent="0.2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row>
    <row r="182" spans="1:30" x14ac:dyDescent="0.2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row>
    <row r="183" spans="1:30"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row>
    <row r="184" spans="1:30" x14ac:dyDescent="0.2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row>
    <row r="185" spans="1:30" x14ac:dyDescent="0.2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row>
    <row r="186" spans="1:30" x14ac:dyDescent="0.2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row>
    <row r="187" spans="1:30" x14ac:dyDescent="0.2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row>
    <row r="188" spans="1:30" x14ac:dyDescent="0.2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row>
    <row r="189" spans="1:30" x14ac:dyDescent="0.2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row>
    <row r="190" spans="1:30" x14ac:dyDescent="0.2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row>
    <row r="191" spans="1:30" x14ac:dyDescent="0.2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row>
    <row r="192" spans="1:30" x14ac:dyDescent="0.2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row>
    <row r="193" spans="1:30" x14ac:dyDescent="0.2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row>
    <row r="194" spans="1:30" x14ac:dyDescent="0.2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row>
    <row r="195" spans="1:30" x14ac:dyDescent="0.2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row>
    <row r="196" spans="1:30" x14ac:dyDescent="0.2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row>
    <row r="197" spans="1:30" x14ac:dyDescent="0.2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row>
    <row r="198" spans="1:30" x14ac:dyDescent="0.2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row>
    <row r="199" spans="1:30" x14ac:dyDescent="0.2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row>
    <row r="200" spans="1:30" x14ac:dyDescent="0.2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row>
    <row r="201" spans="1:30" x14ac:dyDescent="0.2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row>
    <row r="202" spans="1:30" x14ac:dyDescent="0.2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row>
    <row r="203" spans="1:30" x14ac:dyDescent="0.2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row>
    <row r="204" spans="1:30" x14ac:dyDescent="0.2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row>
    <row r="205" spans="1:30" x14ac:dyDescent="0.2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row>
    <row r="206" spans="1:30" x14ac:dyDescent="0.2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row>
    <row r="207" spans="1:30" x14ac:dyDescent="0.2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row>
    <row r="208" spans="1:30" x14ac:dyDescent="0.2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row>
    <row r="209" spans="1:30" x14ac:dyDescent="0.2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row>
    <row r="210" spans="1:30" x14ac:dyDescent="0.2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row>
    <row r="211" spans="1:30" x14ac:dyDescent="0.2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row>
    <row r="212" spans="1:30" x14ac:dyDescent="0.2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row>
    <row r="213" spans="1:30" x14ac:dyDescent="0.2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row>
    <row r="214" spans="1:30" x14ac:dyDescent="0.2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row>
    <row r="215" spans="1:30" x14ac:dyDescent="0.2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row>
    <row r="216" spans="1:30" x14ac:dyDescent="0.2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row>
    <row r="217" spans="1:30" x14ac:dyDescent="0.2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row>
    <row r="218" spans="1:30" x14ac:dyDescent="0.2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row>
    <row r="219" spans="1:30" x14ac:dyDescent="0.2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row>
    <row r="220" spans="1:30" x14ac:dyDescent="0.2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row>
    <row r="221" spans="1:30" x14ac:dyDescent="0.2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row>
    <row r="222" spans="1:30" x14ac:dyDescent="0.2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row>
    <row r="223" spans="1:30" x14ac:dyDescent="0.2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supply_chain_data</vt:lpstr>
      <vt:lpstr>Supply Chain Data Cleaned</vt:lpstr>
      <vt:lpstr>Price vs Revenue Analysis</vt:lpstr>
      <vt:lpstr>Sales Percentage by Product Typ</vt:lpstr>
      <vt:lpstr>Revenue by Carriers</vt:lpstr>
      <vt:lpstr>SKU(s) by Revenue</vt:lpstr>
      <vt:lpstr>Stock Levels by SKU</vt:lpstr>
      <vt:lpstr>Shipping Costs by Carriers</vt:lpstr>
      <vt:lpstr>Transport Cost Distribution</vt:lpstr>
      <vt:lpstr>Avg Defect Rate by PM &amp; TM</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Toluwani Emmanuel</cp:lastModifiedBy>
  <dcterms:created xsi:type="dcterms:W3CDTF">2025-11-17T00:50:44Z</dcterms:created>
  <dcterms:modified xsi:type="dcterms:W3CDTF">2025-11-19T00:49:07Z</dcterms:modified>
</cp:coreProperties>
</file>